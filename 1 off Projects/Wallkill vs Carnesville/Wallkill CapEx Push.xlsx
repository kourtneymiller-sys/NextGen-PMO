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wal-mart.com/personal/k0m0eg1_homeoffice_wal-mart_com/Documents/Desktop/Code Puppy Saved Work/1 off Projects/Wallkill vs Carnesville/"/>
    </mc:Choice>
  </mc:AlternateContent>
  <xr:revisionPtr revIDLastSave="0" documentId="8_{F6F8C4E1-9703-422F-A214-E78636A91936}" xr6:coauthVersionLast="47" xr6:coauthVersionMax="47" xr10:uidLastSave="{00000000-0000-0000-0000-000000000000}"/>
  <bookViews>
    <workbookView xWindow="4200" yWindow="2565" windowWidth="38235" windowHeight="17535" xr2:uid="{AF84F4DA-138E-4CB0-81F8-B6090C0A51E1}"/>
  </bookViews>
  <sheets>
    <sheet name="CapEx Spend by FY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17" i="1"/>
  <c r="D16" i="1"/>
  <c r="J15" i="1"/>
  <c r="I15" i="1"/>
  <c r="H15" i="1"/>
  <c r="G15" i="1"/>
  <c r="F15" i="1"/>
  <c r="E15" i="1"/>
  <c r="D15" i="1"/>
  <c r="D8" i="1" s="1"/>
  <c r="E38" i="1" s="1"/>
  <c r="J8" i="1"/>
  <c r="J35" i="1" s="1"/>
  <c r="I8" i="1"/>
  <c r="I35" i="1" s="1"/>
  <c r="H8" i="1"/>
  <c r="H35" i="1" s="1"/>
  <c r="G8" i="1"/>
  <c r="G35" i="1" s="1"/>
  <c r="F8" i="1"/>
  <c r="F35" i="1" s="1"/>
</calcChain>
</file>

<file path=xl/sharedStrings.xml><?xml version="1.0" encoding="utf-8"?>
<sst xmlns="http://schemas.openxmlformats.org/spreadsheetml/2006/main" count="67" uniqueCount="23">
  <si>
    <t xml:space="preserve">Wallkill  - Original </t>
  </si>
  <si>
    <t>MODEL INPUTS</t>
  </si>
  <si>
    <t>Total</t>
  </si>
  <si>
    <t>FY26</t>
  </si>
  <si>
    <t>FY27</t>
  </si>
  <si>
    <t>FY28</t>
  </si>
  <si>
    <t>FY29</t>
  </si>
  <si>
    <t>FY30</t>
  </si>
  <si>
    <t>FY31</t>
  </si>
  <si>
    <t>Total Capex Budget</t>
  </si>
  <si>
    <t>Capex</t>
  </si>
  <si>
    <t>LAND</t>
  </si>
  <si>
    <t>CONSTRUCTION</t>
  </si>
  <si>
    <t>ENERGY</t>
  </si>
  <si>
    <t>INITIAL ORDER</t>
  </si>
  <si>
    <t>MHE</t>
  </si>
  <si>
    <t>TECHNOLOGY</t>
  </si>
  <si>
    <t>INTERIM INTEREST</t>
  </si>
  <si>
    <t>Wallkill Updated</t>
  </si>
  <si>
    <t>Total ex Interim Interest</t>
  </si>
  <si>
    <t>Construction</t>
  </si>
  <si>
    <t>(-) Pushed CapEx to Year</t>
  </si>
  <si>
    <t>Reduction in Interium Iterest by MHE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</si>
</sst>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i/>
      <sz val="11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8"/>
        <bgColor rgb="FFFFC22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164" fontId="4" fillId="3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164" fontId="4" fillId="3" borderId="3" xfId="1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top"/>
    </xf>
    <xf numFmtId="0" fontId="6" fillId="5" borderId="5" xfId="0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vertical="top"/>
    </xf>
    <xf numFmtId="164" fontId="3" fillId="6" borderId="0" xfId="1" applyNumberFormat="1" applyFont="1" applyFill="1" applyBorder="1" applyAlignment="1">
      <alignment vertical="top"/>
    </xf>
    <xf numFmtId="164" fontId="3" fillId="0" borderId="0" xfId="1" applyNumberFormat="1" applyFont="1" applyBorder="1" applyAlignment="1">
      <alignment vertical="top"/>
    </xf>
    <xf numFmtId="164" fontId="2" fillId="6" borderId="0" xfId="1" applyNumberFormat="1" applyFont="1" applyFill="1" applyBorder="1" applyAlignment="1">
      <alignment vertical="top"/>
    </xf>
    <xf numFmtId="164" fontId="2" fillId="0" borderId="0" xfId="1" applyNumberFormat="1" applyFont="1" applyBorder="1" applyAlignment="1">
      <alignment vertical="top"/>
    </xf>
    <xf numFmtId="0" fontId="7" fillId="0" borderId="4" xfId="0" applyFont="1" applyBorder="1" applyAlignment="1">
      <alignment horizontal="left" vertical="top" indent="1"/>
    </xf>
    <xf numFmtId="164" fontId="3" fillId="7" borderId="0" xfId="1" applyNumberFormat="1" applyFont="1" applyFill="1" applyBorder="1" applyAlignment="1">
      <alignment vertical="top"/>
    </xf>
    <xf numFmtId="0" fontId="7" fillId="0" borderId="6" xfId="0" applyFont="1" applyBorder="1" applyAlignment="1">
      <alignment horizontal="left" vertical="top" indent="1"/>
    </xf>
    <xf numFmtId="0" fontId="6" fillId="5" borderId="7" xfId="0" applyFont="1" applyFill="1" applyBorder="1" applyAlignment="1">
      <alignment horizontal="center" vertical="center"/>
    </xf>
    <xf numFmtId="164" fontId="3" fillId="7" borderId="8" xfId="1" applyNumberFormat="1" applyFont="1" applyFill="1" applyBorder="1" applyAlignment="1">
      <alignment vertical="top"/>
    </xf>
    <xf numFmtId="0" fontId="5" fillId="0" borderId="4" xfId="0" applyFont="1" applyBorder="1" applyAlignment="1">
      <alignment horizontal="left" vertical="top" indent="1"/>
    </xf>
    <xf numFmtId="164" fontId="3" fillId="4" borderId="0" xfId="0" applyNumberFormat="1" applyFont="1" applyFill="1" applyAlignment="1">
      <alignment vertical="top"/>
    </xf>
    <xf numFmtId="164" fontId="3" fillId="0" borderId="0" xfId="1" applyNumberFormat="1" applyFont="1" applyFill="1" applyBorder="1" applyAlignment="1">
      <alignment vertical="top"/>
    </xf>
    <xf numFmtId="164" fontId="2" fillId="0" borderId="0" xfId="1" applyNumberFormat="1" applyFont="1" applyFill="1" applyBorder="1" applyAlignment="1">
      <alignment vertical="top"/>
    </xf>
    <xf numFmtId="164" fontId="6" fillId="5" borderId="5" xfId="1" applyNumberFormat="1" applyFont="1" applyFill="1" applyBorder="1" applyAlignment="1">
      <alignment horizontal="center" vertical="center"/>
    </xf>
    <xf numFmtId="164" fontId="6" fillId="5" borderId="7" xfId="1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top"/>
    </xf>
    <xf numFmtId="0" fontId="0" fillId="7" borderId="0" xfId="0" applyFill="1"/>
    <xf numFmtId="164" fontId="4" fillId="8" borderId="1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right"/>
    </xf>
    <xf numFmtId="164" fontId="0" fillId="7" borderId="0" xfId="0" applyNumberFormat="1" applyFill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5EBC-35E5-4169-BBE0-D13CE9962CD4}">
  <dimension ref="B6:J38"/>
  <sheetViews>
    <sheetView tabSelected="1" workbookViewId="0">
      <selection activeCell="E39" sqref="E39"/>
    </sheetView>
  </sheetViews>
  <sheetFormatPr defaultRowHeight="15" x14ac:dyDescent="0.25"/>
  <cols>
    <col min="2" max="2" width="23.85546875" bestFit="1" customWidth="1"/>
    <col min="4" max="4" width="22.7109375" bestFit="1" customWidth="1"/>
    <col min="5" max="5" width="12.42578125" bestFit="1" customWidth="1"/>
    <col min="6" max="8" width="13.5703125" bestFit="1" customWidth="1"/>
    <col min="9" max="9" width="13.42578125" bestFit="1" customWidth="1"/>
    <col min="10" max="10" width="13.140625" bestFit="1" customWidth="1"/>
  </cols>
  <sheetData>
    <row r="6" spans="2:10" ht="15.75" thickBot="1" x14ac:dyDescent="0.3">
      <c r="B6" t="s">
        <v>0</v>
      </c>
    </row>
    <row r="7" spans="2:10" ht="16.5" thickBot="1" x14ac:dyDescent="0.3">
      <c r="B7" s="1" t="s">
        <v>1</v>
      </c>
      <c r="C7" s="2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</row>
    <row r="8" spans="2:10" ht="15.75" x14ac:dyDescent="0.25">
      <c r="B8" s="4" t="s">
        <v>9</v>
      </c>
      <c r="C8" s="5" t="s">
        <v>10</v>
      </c>
      <c r="D8" s="6">
        <f>SUM(D9:D15)</f>
        <v>1748497450.922559</v>
      </c>
      <c r="E8" s="6">
        <v>0</v>
      </c>
      <c r="F8" s="6">
        <f>SUM(F9:F17)</f>
        <v>137128614.86876991</v>
      </c>
      <c r="G8" s="6">
        <f t="shared" ref="G8:J8" si="0">SUM(G9:G17)</f>
        <v>615371505.08565187</v>
      </c>
      <c r="H8" s="6">
        <f t="shared" si="0"/>
        <v>568759117.17276764</v>
      </c>
      <c r="I8" s="6">
        <f t="shared" si="0"/>
        <v>407859025.80903685</v>
      </c>
      <c r="J8" s="6">
        <f t="shared" si="0"/>
        <v>110278379.92898646</v>
      </c>
    </row>
    <row r="9" spans="2:10" x14ac:dyDescent="0.25">
      <c r="B9" s="7" t="s">
        <v>11</v>
      </c>
      <c r="C9" s="8" t="s">
        <v>10</v>
      </c>
      <c r="D9" s="9">
        <v>0</v>
      </c>
      <c r="E9" s="10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</row>
    <row r="10" spans="2:10" x14ac:dyDescent="0.25">
      <c r="B10" s="7" t="s">
        <v>12</v>
      </c>
      <c r="C10" s="8" t="s">
        <v>10</v>
      </c>
      <c r="D10" s="9">
        <v>839292340.00300002</v>
      </c>
      <c r="E10" s="10">
        <v>0</v>
      </c>
      <c r="F10" s="11">
        <v>71000000</v>
      </c>
      <c r="G10" s="11">
        <v>460255404.0018</v>
      </c>
      <c r="H10" s="11">
        <v>230487702.0009</v>
      </c>
      <c r="I10" s="11">
        <v>77549234.000300005</v>
      </c>
    </row>
    <row r="11" spans="2:10" x14ac:dyDescent="0.25">
      <c r="B11" s="7" t="s">
        <v>13</v>
      </c>
      <c r="C11" s="8" t="s">
        <v>10</v>
      </c>
      <c r="D11" s="9">
        <v>26445175.300000001</v>
      </c>
      <c r="E11" s="10">
        <v>0</v>
      </c>
      <c r="F11" s="11">
        <v>2644518</v>
      </c>
      <c r="G11" s="11">
        <v>9255810</v>
      </c>
      <c r="H11" s="11">
        <v>11900329.299999999</v>
      </c>
      <c r="I11" s="11">
        <v>2644518</v>
      </c>
      <c r="J11" s="11">
        <v>0</v>
      </c>
    </row>
    <row r="12" spans="2:10" x14ac:dyDescent="0.25">
      <c r="B12" s="7" t="s">
        <v>14</v>
      </c>
      <c r="C12" s="8" t="s">
        <v>10</v>
      </c>
      <c r="D12" s="9">
        <v>5647534.8700000001</v>
      </c>
      <c r="E12" s="10">
        <v>0</v>
      </c>
      <c r="F12" s="11">
        <v>0</v>
      </c>
      <c r="G12" s="11">
        <v>0</v>
      </c>
      <c r="H12" s="11">
        <v>791027.67</v>
      </c>
      <c r="I12" s="11">
        <v>4856507.2</v>
      </c>
      <c r="J12" s="11">
        <v>0</v>
      </c>
    </row>
    <row r="13" spans="2:10" x14ac:dyDescent="0.25">
      <c r="B13" s="7" t="s">
        <v>15</v>
      </c>
      <c r="C13" s="8" t="s">
        <v>10</v>
      </c>
      <c r="D13" s="9">
        <v>744882442.80690527</v>
      </c>
      <c r="E13" s="10">
        <v>0</v>
      </c>
      <c r="F13" s="11">
        <v>57193342.271301903</v>
      </c>
      <c r="G13" s="11">
        <v>114386684.54260381</v>
      </c>
      <c r="H13" s="11">
        <v>251290540.44509178</v>
      </c>
      <c r="I13" s="11">
        <v>228660338.16777393</v>
      </c>
      <c r="J13" s="11">
        <v>93351537.380133882</v>
      </c>
    </row>
    <row r="14" spans="2:10" x14ac:dyDescent="0.25">
      <c r="B14" s="7" t="s">
        <v>16</v>
      </c>
      <c r="C14" s="8" t="s">
        <v>10</v>
      </c>
      <c r="D14" s="9">
        <v>41330766</v>
      </c>
      <c r="E14" s="10">
        <v>0</v>
      </c>
      <c r="F14" s="11">
        <v>4133077</v>
      </c>
      <c r="G14" s="11">
        <v>20665383</v>
      </c>
      <c r="H14" s="11">
        <v>16532306</v>
      </c>
      <c r="I14" s="11">
        <v>0</v>
      </c>
      <c r="J14" s="11">
        <v>0</v>
      </c>
    </row>
    <row r="15" spans="2:10" x14ac:dyDescent="0.25">
      <c r="B15" s="7" t="s">
        <v>17</v>
      </c>
      <c r="C15" s="8" t="s">
        <v>10</v>
      </c>
      <c r="D15" s="12">
        <f>SUM(E15:J15)</f>
        <v>90899191.942653835</v>
      </c>
      <c r="E15" s="13">
        <f>E16+E17</f>
        <v>0</v>
      </c>
      <c r="F15" s="13">
        <f t="shared" ref="F15:J15" si="1">F16+F17</f>
        <v>1078838.79873401</v>
      </c>
      <c r="G15" s="13">
        <f t="shared" si="1"/>
        <v>5404111.7706240816</v>
      </c>
      <c r="H15" s="13">
        <f t="shared" si="1"/>
        <v>28878605.878387988</v>
      </c>
      <c r="I15" s="13">
        <f t="shared" si="1"/>
        <v>47074214.220481463</v>
      </c>
      <c r="J15" s="13">
        <f t="shared" si="1"/>
        <v>8463421.2744262889</v>
      </c>
    </row>
    <row r="16" spans="2:10" x14ac:dyDescent="0.25">
      <c r="B16" s="14" t="s">
        <v>12</v>
      </c>
      <c r="C16" s="8" t="s">
        <v>10</v>
      </c>
      <c r="D16" s="12">
        <f t="shared" ref="D16:D17" si="2">SUM(E16:J16)</f>
        <v>37126987.083604291</v>
      </c>
      <c r="E16" s="15">
        <v>0</v>
      </c>
      <c r="F16" s="15">
        <v>0</v>
      </c>
      <c r="G16" s="15">
        <v>1963109.5890410957</v>
      </c>
      <c r="H16" s="15">
        <v>14458647.660948161</v>
      </c>
      <c r="I16" s="15">
        <v>20705229.833615035</v>
      </c>
      <c r="J16" s="15"/>
    </row>
    <row r="17" spans="2:10" ht="15.75" thickBot="1" x14ac:dyDescent="0.3">
      <c r="B17" s="16" t="s">
        <v>15</v>
      </c>
      <c r="C17" s="17" t="s">
        <v>10</v>
      </c>
      <c r="D17" s="12">
        <f t="shared" si="2"/>
        <v>53772204.859049536</v>
      </c>
      <c r="E17" s="18">
        <v>0</v>
      </c>
      <c r="F17" s="18">
        <v>1078838.79873401</v>
      </c>
      <c r="G17" s="18">
        <v>3441002.1815829859</v>
      </c>
      <c r="H17" s="18">
        <v>14419958.217439827</v>
      </c>
      <c r="I17" s="18">
        <v>26368984.386866428</v>
      </c>
      <c r="J17" s="18">
        <v>8463421.2744262889</v>
      </c>
    </row>
    <row r="19" spans="2:10" ht="15.75" thickBot="1" x14ac:dyDescent="0.3">
      <c r="B19" t="s">
        <v>18</v>
      </c>
    </row>
    <row r="20" spans="2:10" ht="16.5" thickBot="1" x14ac:dyDescent="0.3">
      <c r="B20" s="1" t="s">
        <v>1</v>
      </c>
      <c r="C20" s="2"/>
      <c r="D20" s="3" t="s">
        <v>2</v>
      </c>
      <c r="E20" s="3" t="s">
        <v>3</v>
      </c>
      <c r="F20" s="3" t="s">
        <v>4</v>
      </c>
      <c r="G20" s="3" t="s">
        <v>5</v>
      </c>
      <c r="H20" s="3" t="s">
        <v>6</v>
      </c>
      <c r="I20" s="3" t="s">
        <v>7</v>
      </c>
      <c r="J20" s="3" t="s">
        <v>8</v>
      </c>
    </row>
    <row r="21" spans="2:10" ht="15.75" x14ac:dyDescent="0.25">
      <c r="B21" s="4" t="s">
        <v>9</v>
      </c>
      <c r="C21" s="5" t="s">
        <v>10</v>
      </c>
      <c r="D21" s="6">
        <v>1730322546.6698313</v>
      </c>
      <c r="E21" s="6">
        <v>0</v>
      </c>
      <c r="F21" s="6">
        <v>58621908.754967421</v>
      </c>
      <c r="G21" s="6">
        <v>94018123.60878998</v>
      </c>
      <c r="H21" s="6">
        <v>680835829.93490088</v>
      </c>
      <c r="I21" s="6">
        <v>642067514.82289052</v>
      </c>
      <c r="J21" s="6">
        <v>254779169.54828277</v>
      </c>
    </row>
    <row r="22" spans="2:10" x14ac:dyDescent="0.25">
      <c r="B22" s="19" t="s">
        <v>19</v>
      </c>
      <c r="C22" s="2"/>
      <c r="D22" s="20">
        <v>1657598258.9799051</v>
      </c>
      <c r="E22" s="20">
        <v>0</v>
      </c>
      <c r="F22" s="20">
        <v>57563819.271301903</v>
      </c>
      <c r="G22" s="20">
        <v>89523898</v>
      </c>
      <c r="H22" s="20">
        <v>661560081.31503201</v>
      </c>
      <c r="I22" s="20">
        <v>602059329.52146375</v>
      </c>
      <c r="J22" s="20">
        <v>246891130.87210774</v>
      </c>
    </row>
    <row r="23" spans="2:10" x14ac:dyDescent="0.25">
      <c r="B23" s="7" t="s">
        <v>11</v>
      </c>
      <c r="C23" s="8" t="s">
        <v>10</v>
      </c>
      <c r="D23" s="9">
        <v>0</v>
      </c>
      <c r="E23" s="10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2:10" x14ac:dyDescent="0.25">
      <c r="B24" s="7" t="s">
        <v>20</v>
      </c>
      <c r="C24" s="8" t="s">
        <v>10</v>
      </c>
      <c r="D24" s="9">
        <v>839292340.00300002</v>
      </c>
      <c r="E24" s="10">
        <v>0</v>
      </c>
      <c r="F24">
        <v>0</v>
      </c>
      <c r="G24" s="11">
        <v>71000000</v>
      </c>
      <c r="H24" s="11">
        <v>460255404.0018</v>
      </c>
      <c r="I24" s="11">
        <v>230487702.0009</v>
      </c>
      <c r="J24" s="11">
        <v>77549234.000300005</v>
      </c>
    </row>
    <row r="25" spans="2:10" x14ac:dyDescent="0.25">
      <c r="B25" s="7" t="s">
        <v>13</v>
      </c>
      <c r="C25" s="8" t="s">
        <v>10</v>
      </c>
      <c r="D25" s="9">
        <v>26445175.300000001</v>
      </c>
      <c r="E25" s="10">
        <v>0</v>
      </c>
      <c r="F25" s="11">
        <v>376135</v>
      </c>
      <c r="G25" s="11">
        <v>11524193</v>
      </c>
      <c r="H25" s="11">
        <v>11900329.299999999</v>
      </c>
      <c r="I25" s="11">
        <v>2644518</v>
      </c>
      <c r="J25" s="11">
        <v>0</v>
      </c>
    </row>
    <row r="26" spans="2:10" x14ac:dyDescent="0.25">
      <c r="B26" s="7" t="s">
        <v>14</v>
      </c>
      <c r="C26" s="8" t="s">
        <v>10</v>
      </c>
      <c r="D26" s="9">
        <v>5647534.8700000001</v>
      </c>
      <c r="E26" s="10">
        <v>0</v>
      </c>
      <c r="F26" s="11">
        <v>0</v>
      </c>
      <c r="G26" s="11">
        <v>0</v>
      </c>
      <c r="H26" s="11">
        <v>791027.67</v>
      </c>
      <c r="I26" s="11">
        <v>4856507.2</v>
      </c>
      <c r="J26" s="11">
        <v>0</v>
      </c>
    </row>
    <row r="27" spans="2:10" x14ac:dyDescent="0.25">
      <c r="B27" s="7" t="s">
        <v>15</v>
      </c>
      <c r="C27" s="8" t="s">
        <v>10</v>
      </c>
      <c r="D27" s="9">
        <v>744882442.80690527</v>
      </c>
      <c r="E27" s="10">
        <v>0</v>
      </c>
      <c r="F27" s="11">
        <v>56093342.271301903</v>
      </c>
      <c r="G27" s="21">
        <v>0</v>
      </c>
      <c r="H27" s="11">
        <v>171707194.34323198</v>
      </c>
      <c r="I27" s="11">
        <v>351060357.32056373</v>
      </c>
      <c r="J27" s="11">
        <v>166021548.87180775</v>
      </c>
    </row>
    <row r="28" spans="2:10" x14ac:dyDescent="0.25">
      <c r="B28" s="7" t="s">
        <v>16</v>
      </c>
      <c r="C28" s="8" t="s">
        <v>10</v>
      </c>
      <c r="D28" s="9">
        <v>41330766</v>
      </c>
      <c r="E28" s="10">
        <v>0</v>
      </c>
      <c r="F28" s="11">
        <v>1094342</v>
      </c>
      <c r="G28" s="11">
        <v>6999705</v>
      </c>
      <c r="H28" s="11">
        <v>16906126</v>
      </c>
      <c r="I28" s="11">
        <v>13010245</v>
      </c>
      <c r="J28" s="11">
        <v>3320348</v>
      </c>
    </row>
    <row r="29" spans="2:10" x14ac:dyDescent="0.25">
      <c r="B29" s="7" t="s">
        <v>17</v>
      </c>
      <c r="C29" s="8" t="s">
        <v>10</v>
      </c>
      <c r="D29" s="22">
        <v>72724287.689926133</v>
      </c>
      <c r="E29" s="12">
        <v>0</v>
      </c>
      <c r="F29" s="13">
        <v>1058089.4836655168</v>
      </c>
      <c r="G29" s="13">
        <v>4494225.6087899785</v>
      </c>
      <c r="H29" s="13">
        <v>19275748.619868893</v>
      </c>
      <c r="I29" s="13">
        <v>40008185.301426716</v>
      </c>
      <c r="J29" s="13">
        <v>7888038.6761750281</v>
      </c>
    </row>
    <row r="30" spans="2:10" x14ac:dyDescent="0.25">
      <c r="B30" s="14" t="s">
        <v>12</v>
      </c>
      <c r="C30" s="8" t="s">
        <v>10</v>
      </c>
      <c r="D30" s="23">
        <v>37126987.083604291</v>
      </c>
      <c r="E30" s="15"/>
      <c r="F30" s="15">
        <v>0</v>
      </c>
      <c r="G30" s="15">
        <v>1963109.5890410957</v>
      </c>
      <c r="H30" s="15">
        <v>14458647.660948161</v>
      </c>
      <c r="I30" s="15">
        <v>20705229.833615035</v>
      </c>
      <c r="J30" s="15">
        <v>0</v>
      </c>
    </row>
    <row r="31" spans="2:10" ht="15.75" thickBot="1" x14ac:dyDescent="0.3">
      <c r="B31" s="16" t="s">
        <v>15</v>
      </c>
      <c r="C31" s="17" t="s">
        <v>10</v>
      </c>
      <c r="D31" s="24">
        <v>35597300.606321841</v>
      </c>
      <c r="E31" s="18"/>
      <c r="F31" s="18">
        <v>1058089.4836655168</v>
      </c>
      <c r="G31" s="18">
        <v>2531116.0197488833</v>
      </c>
      <c r="H31" s="18">
        <v>4817100.9589207331</v>
      </c>
      <c r="I31" s="18">
        <v>19302955.467811681</v>
      </c>
      <c r="J31" s="18">
        <v>7888038.6761750281</v>
      </c>
    </row>
    <row r="32" spans="2:10" x14ac:dyDescent="0.25">
      <c r="B32" s="2"/>
      <c r="C32" s="2"/>
      <c r="D32" s="2"/>
      <c r="E32" s="2"/>
      <c r="F32" s="25"/>
      <c r="G32" s="25"/>
      <c r="H32" s="25"/>
      <c r="I32" s="25"/>
      <c r="J32" s="25"/>
    </row>
    <row r="33" spans="3:10" ht="15.75" thickBot="1" x14ac:dyDescent="0.3"/>
    <row r="34" spans="3:10" ht="15.75" x14ac:dyDescent="0.25">
      <c r="C34" s="26"/>
      <c r="D34" s="26"/>
      <c r="E34" s="27" t="s">
        <v>3</v>
      </c>
      <c r="F34" s="27" t="s">
        <v>4</v>
      </c>
      <c r="G34" s="27" t="s">
        <v>5</v>
      </c>
      <c r="H34" s="27" t="s">
        <v>6</v>
      </c>
      <c r="I34" s="27" t="s">
        <v>7</v>
      </c>
      <c r="J34" s="27" t="s">
        <v>8</v>
      </c>
    </row>
    <row r="35" spans="3:10" x14ac:dyDescent="0.25">
      <c r="C35" s="26"/>
      <c r="D35" s="28" t="s">
        <v>21</v>
      </c>
      <c r="E35" s="29">
        <f>E21-E8</f>
        <v>0</v>
      </c>
      <c r="F35" s="29">
        <f t="shared" ref="F35:J35" si="3">F21-F8</f>
        <v>-78506706.113802493</v>
      </c>
      <c r="G35" s="29">
        <f t="shared" si="3"/>
        <v>-521353381.47686189</v>
      </c>
      <c r="H35" s="29">
        <f t="shared" si="3"/>
        <v>112076712.76213324</v>
      </c>
      <c r="I35" s="29">
        <f t="shared" si="3"/>
        <v>234208489.01385367</v>
      </c>
      <c r="J35" s="29">
        <f t="shared" si="3"/>
        <v>144500789.61929631</v>
      </c>
    </row>
    <row r="38" spans="3:10" x14ac:dyDescent="0.25">
      <c r="E38" s="30">
        <f>D21-D8</f>
        <v>-18174904.252727747</v>
      </c>
      <c r="F3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 Spend by FY (2)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Kourtney Miller</dc:creator>
  <cp:lastModifiedBy>Kourtney Miller</cp:lastModifiedBy>
  <dcterms:created xsi:type="dcterms:W3CDTF">2026-05-07T19:40:12Z</dcterms:created>
  <dcterms:modified xsi:type="dcterms:W3CDTF">2026-05-07T19:41:03Z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2026-05-07T19:40:26Z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39c00f99-0390-4dd1-8eb6-e92e3550da47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