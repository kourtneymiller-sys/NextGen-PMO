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y.wal-mart.com/personal/k0m0eg1_homeoffice_wal-mart_com/Documents/Desktop/Code Puppy Saved Work/"/>
    </mc:Choice>
  </mc:AlternateContent>
  <xr:revisionPtr revIDLastSave="2160" documentId="8_{3CD9A91E-A1DC-493E-B251-6A7E654DFCDD}" xr6:coauthVersionLast="47" xr6:coauthVersionMax="47" xr10:uidLastSave="{B8F04043-A404-40B4-87B1-626874BC1DDE}"/>
  <bookViews>
    <workbookView xWindow="6" yWindow="6" windowWidth="23028" windowHeight="13668" firstSheet="1" activeTab="1" xr2:uid="{00000000-000D-0000-FFFF-FFFF00000000}"/>
  </bookViews>
  <sheets>
    <sheet name="TUE FC Asset Plan SteerCo" sheetId="2" state="hidden" r:id="rId1"/>
    <sheet name="NG Scheduling" sheetId="6" r:id="rId2"/>
    <sheet name="NG Timelines" sheetId="8" r:id="rId3"/>
    <sheet name="NG Budget" sheetId="10" r:id="rId4"/>
    <sheet name="Automation Launch Dates" sheetId="9" r:id="rId5"/>
    <sheet name="Info" sheetId="7" r:id="rId6"/>
  </sheets>
  <definedNames>
    <definedName name="_xlnm._FilterDatabase" localSheetId="3" hidden="1">'NG Budget'!$A$1:$R$10</definedName>
    <definedName name="_xlnm._FilterDatabase" localSheetId="1" hidden="1">'NG Scheduling'!$A$1:$P$446</definedName>
    <definedName name="_xlnm._FilterDatabase" localSheetId="0" hidden="1">'TUE FC Asset Plan SteerCo'!$A$3:$H$91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 i="8" l="1"/>
  <c r="C71" i="8" l="1"/>
  <c r="D57" i="8"/>
  <c r="H75" i="6"/>
  <c r="G75" i="6" s="1"/>
  <c r="H73" i="6"/>
  <c r="H6" i="6" l="1"/>
  <c r="H71" i="6" l="1"/>
  <c r="G79" i="6" l="1"/>
  <c r="G71" i="6"/>
  <c r="G86" i="6"/>
  <c r="G6" i="6"/>
  <c r="G73" i="6"/>
  <c r="G76" i="6"/>
  <c r="G85" i="6"/>
  <c r="G77" i="6"/>
  <c r="G87" i="6"/>
  <c r="G88" i="6"/>
  <c r="G89" i="6"/>
  <c r="G90" i="6"/>
  <c r="G91" i="6"/>
  <c r="G92" i="6"/>
  <c r="G93" i="6"/>
  <c r="G94" i="6"/>
  <c r="G95" i="6"/>
  <c r="G96" i="6"/>
  <c r="G97" i="6"/>
  <c r="G98" i="6"/>
  <c r="G82" i="6"/>
  <c r="G83" i="6"/>
  <c r="G69" i="6"/>
  <c r="G78" i="6"/>
  <c r="H63" i="6" l="1"/>
  <c r="H64" i="6"/>
  <c r="D53" i="8" l="1"/>
  <c r="A79" i="6" l="1"/>
  <c r="H32" i="6" l="1"/>
  <c r="H49" i="6"/>
  <c r="H65" i="6"/>
  <c r="H57" i="6"/>
  <c r="H70" i="6"/>
  <c r="H54" i="6"/>
  <c r="H60" i="6"/>
  <c r="H45" i="6"/>
  <c r="H62" i="6" l="1"/>
  <c r="G64" i="6"/>
  <c r="H58" i="6"/>
  <c r="B53" i="8" l="1"/>
  <c r="C53" i="8"/>
  <c r="E53" i="8"/>
  <c r="B49" i="8"/>
  <c r="C49" i="8"/>
  <c r="B50" i="8"/>
  <c r="C50" i="8"/>
  <c r="B51" i="8"/>
  <c r="C51" i="8"/>
  <c r="B52" i="8"/>
  <c r="C52" i="8"/>
  <c r="E49" i="8"/>
  <c r="F49" i="8"/>
  <c r="G49" i="8"/>
  <c r="H49" i="8"/>
  <c r="E50" i="8"/>
  <c r="F50" i="8"/>
  <c r="G50" i="8"/>
  <c r="H50" i="8"/>
  <c r="E51" i="8"/>
  <c r="F51" i="8"/>
  <c r="G51" i="8"/>
  <c r="H51" i="8"/>
  <c r="E52" i="8"/>
  <c r="F52" i="8"/>
  <c r="G52" i="8"/>
  <c r="H52" i="8"/>
  <c r="F53" i="8"/>
  <c r="G53" i="8"/>
  <c r="H53" i="8"/>
  <c r="D49" i="8"/>
  <c r="D52" i="8"/>
  <c r="D51" i="8"/>
  <c r="D50" i="8"/>
  <c r="G3" i="6" l="1"/>
  <c r="G2" i="6"/>
  <c r="G5" i="6"/>
  <c r="G4" i="6"/>
  <c r="H3" i="6"/>
  <c r="H2" i="6"/>
  <c r="H11" i="6"/>
  <c r="G11" i="6" s="1"/>
  <c r="H12" i="6"/>
  <c r="G12" i="6" s="1"/>
  <c r="H13" i="6"/>
  <c r="G13" i="6" s="1"/>
  <c r="H15" i="6"/>
  <c r="G15" i="6" s="1"/>
  <c r="H14" i="6"/>
  <c r="G14" i="6" s="1"/>
  <c r="H18" i="6"/>
  <c r="G18" i="6" s="1"/>
  <c r="H20" i="6"/>
  <c r="G20" i="6" s="1"/>
  <c r="H22" i="6"/>
  <c r="G22" i="6" s="1"/>
  <c r="H21" i="6"/>
  <c r="G21" i="6" s="1"/>
  <c r="H23" i="6"/>
  <c r="G23" i="6" s="1"/>
  <c r="H27" i="6"/>
  <c r="G27" i="6" s="1"/>
  <c r="H24" i="6"/>
  <c r="G24" i="6" s="1"/>
  <c r="H25" i="6"/>
  <c r="G25" i="6" s="1"/>
  <c r="H26" i="6"/>
  <c r="G26" i="6" s="1"/>
  <c r="H31" i="6"/>
  <c r="G31" i="6" s="1"/>
  <c r="H28" i="6"/>
  <c r="G28" i="6" s="1"/>
  <c r="H30" i="6"/>
  <c r="G30" i="6" s="1"/>
  <c r="H39" i="6"/>
  <c r="H41" i="6"/>
  <c r="H5" i="6"/>
  <c r="H19" i="6"/>
  <c r="G19" i="6" s="1"/>
  <c r="H29" i="6"/>
  <c r="H37" i="6"/>
  <c r="H35" i="6"/>
  <c r="H34" i="6"/>
  <c r="H10" i="6"/>
  <c r="G10" i="6" s="1"/>
  <c r="H9" i="6"/>
  <c r="G9" i="6" s="1"/>
  <c r="H8" i="6"/>
  <c r="G8" i="6" s="1"/>
  <c r="H7" i="6"/>
  <c r="G7" i="6" s="1"/>
  <c r="H16" i="6"/>
  <c r="G16" i="6" s="1"/>
  <c r="H17" i="6"/>
  <c r="G17" i="6" s="1"/>
  <c r="H4" i="6"/>
  <c r="AI21" i="6" l="1"/>
  <c r="Q3" i="10" l="1"/>
  <c r="R3" i="10" s="1"/>
  <c r="Q4" i="10"/>
  <c r="Q5" i="10"/>
  <c r="R5" i="10" s="1"/>
  <c r="Q6" i="10"/>
  <c r="R6" i="10" s="1"/>
  <c r="Q7" i="10"/>
  <c r="Q8" i="10"/>
  <c r="R8" i="10" s="1"/>
  <c r="Q9" i="10"/>
  <c r="R9" i="10" s="1"/>
  <c r="Q10" i="10"/>
  <c r="R10" i="10" s="1"/>
  <c r="Q11" i="10"/>
  <c r="Q2" i="10"/>
  <c r="R2" i="10" s="1"/>
  <c r="R11" i="10"/>
  <c r="K11" i="10"/>
  <c r="K10" i="10"/>
  <c r="K9" i="10"/>
  <c r="K8" i="10"/>
  <c r="K7" i="10"/>
  <c r="K6" i="10"/>
  <c r="K5" i="10"/>
  <c r="R4" i="10"/>
  <c r="K4" i="10"/>
  <c r="K3" i="10"/>
  <c r="K2" i="10"/>
  <c r="G50" i="6" l="1"/>
  <c r="H53" i="6"/>
  <c r="H55" i="6"/>
  <c r="H56" i="6" l="1"/>
  <c r="G56" i="6" s="1"/>
  <c r="H52" i="6"/>
  <c r="G52" i="6" s="1"/>
  <c r="G46" i="6"/>
  <c r="G36" i="6"/>
  <c r="G38" i="6"/>
  <c r="G40" i="6"/>
  <c r="G42" i="6"/>
  <c r="G43" i="6"/>
  <c r="G48" i="6"/>
  <c r="G51" i="6"/>
  <c r="G66" i="6"/>
  <c r="G72" i="6"/>
  <c r="G74" i="6"/>
  <c r="G44" i="6"/>
  <c r="G47" i="6"/>
  <c r="G55" i="6"/>
  <c r="G53" i="6"/>
  <c r="G39" i="6"/>
  <c r="G41" i="6"/>
  <c r="G29" i="6"/>
  <c r="G37" i="6"/>
  <c r="G35" i="6"/>
  <c r="G34" i="6"/>
  <c r="G58" i="6"/>
  <c r="G62" i="6"/>
  <c r="G45" i="6"/>
  <c r="G32" i="6"/>
  <c r="G49" i="6"/>
  <c r="G65" i="6"/>
  <c r="G57" i="6"/>
  <c r="G70" i="6"/>
  <c r="G54" i="6"/>
  <c r="G60" i="6"/>
  <c r="G59" i="6"/>
  <c r="G61" i="6"/>
  <c r="G81" i="6"/>
  <c r="G68" i="6"/>
  <c r="G67" i="6"/>
  <c r="G80" i="6"/>
  <c r="G84" i="6"/>
  <c r="G63"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33" i="6"/>
  <c r="AI15" i="6" l="1"/>
  <c r="AI16" i="6"/>
  <c r="AI17" i="6"/>
  <c r="AI18" i="6"/>
  <c r="AI19" i="6"/>
  <c r="AI20" i="6"/>
  <c r="AI3" i="6"/>
  <c r="AI4" i="6"/>
  <c r="AI5" i="6"/>
  <c r="AI6" i="6"/>
  <c r="AI7" i="6"/>
  <c r="AI8" i="6"/>
  <c r="AI9" i="6"/>
  <c r="AI10" i="6"/>
  <c r="AI11" i="6"/>
  <c r="AI12" i="6"/>
  <c r="AI13" i="6"/>
  <c r="AI14" i="6"/>
  <c r="A44" i="6"/>
  <c r="A47" i="6"/>
  <c r="A52" i="6"/>
  <c r="A56" i="6"/>
  <c r="A55" i="6"/>
  <c r="A53" i="6"/>
  <c r="A50" i="6"/>
  <c r="A11" i="6"/>
  <c r="A12" i="6"/>
  <c r="A13" i="6"/>
  <c r="A15" i="6"/>
  <c r="A14" i="6"/>
  <c r="A18" i="6"/>
  <c r="A20" i="6"/>
  <c r="A22" i="6"/>
  <c r="A21" i="6"/>
  <c r="A23" i="6"/>
  <c r="A27" i="6"/>
  <c r="A24" i="6"/>
  <c r="A25" i="6"/>
  <c r="A26" i="6"/>
  <c r="A31" i="6"/>
  <c r="A28" i="6"/>
  <c r="A30" i="6"/>
  <c r="A39" i="6"/>
  <c r="A41" i="6"/>
  <c r="A19" i="6"/>
  <c r="A29" i="6"/>
  <c r="A37" i="6"/>
  <c r="A35" i="6"/>
  <c r="A34" i="6"/>
  <c r="A10" i="6"/>
  <c r="A9" i="6"/>
  <c r="A8" i="6"/>
  <c r="A7" i="6"/>
  <c r="A16" i="6"/>
  <c r="A17" i="6"/>
  <c r="A58" i="6"/>
  <c r="A64" i="6"/>
  <c r="A62" i="6"/>
  <c r="A45" i="6"/>
  <c r="A32" i="6"/>
  <c r="A49" i="6"/>
  <c r="A65" i="6"/>
  <c r="A57" i="6"/>
  <c r="A70" i="6"/>
  <c r="A54" i="6"/>
  <c r="A60" i="6"/>
  <c r="A59" i="6"/>
  <c r="A61" i="6"/>
  <c r="A81" i="6"/>
  <c r="A78" i="6"/>
  <c r="A82" i="6"/>
  <c r="A83" i="6"/>
  <c r="A68" i="6"/>
  <c r="A67" i="6"/>
  <c r="A80" i="6"/>
  <c r="A84" i="6"/>
  <c r="A63" i="6"/>
  <c r="A69" i="6"/>
  <c r="A71" i="6"/>
  <c r="A86" i="6"/>
  <c r="A6" i="6"/>
  <c r="A73" i="6"/>
  <c r="A76" i="6"/>
  <c r="A75" i="6"/>
  <c r="A85" i="6"/>
  <c r="A77"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302" i="6"/>
  <c r="A303" i="6"/>
  <c r="A304" i="6"/>
  <c r="A305" i="6"/>
  <c r="A306" i="6"/>
  <c r="A307" i="6"/>
  <c r="A308" i="6"/>
  <c r="A309" i="6"/>
  <c r="A310" i="6"/>
  <c r="A311" i="6"/>
  <c r="A312" i="6"/>
  <c r="A313" i="6"/>
  <c r="A314" i="6"/>
  <c r="A315" i="6"/>
  <c r="A316" i="6"/>
  <c r="A317" i="6"/>
  <c r="A318" i="6"/>
  <c r="A319" i="6"/>
  <c r="A320" i="6"/>
  <c r="A321" i="6"/>
  <c r="A322" i="6"/>
  <c r="A323" i="6"/>
  <c r="A324" i="6"/>
  <c r="A325" i="6"/>
  <c r="A326" i="6"/>
  <c r="A327" i="6"/>
  <c r="A328" i="6"/>
  <c r="A329" i="6"/>
  <c r="A330" i="6"/>
  <c r="A331" i="6"/>
  <c r="A332" i="6"/>
  <c r="A333" i="6"/>
  <c r="A334" i="6"/>
  <c r="A335" i="6"/>
  <c r="A336" i="6"/>
  <c r="A337" i="6"/>
  <c r="A338" i="6"/>
  <c r="A339" i="6"/>
  <c r="A340" i="6"/>
  <c r="A341" i="6"/>
  <c r="A342" i="6"/>
  <c r="A343" i="6"/>
  <c r="A344" i="6"/>
  <c r="A345" i="6"/>
  <c r="A346" i="6"/>
  <c r="A347" i="6"/>
  <c r="A348" i="6"/>
  <c r="A349" i="6"/>
  <c r="A350" i="6"/>
  <c r="A351" i="6"/>
  <c r="A352" i="6"/>
  <c r="A353" i="6"/>
  <c r="A354" i="6"/>
  <c r="A355" i="6"/>
  <c r="A356" i="6"/>
  <c r="A357" i="6"/>
  <c r="A358" i="6"/>
  <c r="A359" i="6"/>
  <c r="A360" i="6"/>
  <c r="A361" i="6"/>
  <c r="A362" i="6"/>
  <c r="A363" i="6"/>
  <c r="A364" i="6"/>
  <c r="A365" i="6"/>
  <c r="A366" i="6"/>
  <c r="A367" i="6"/>
  <c r="A368" i="6"/>
  <c r="A369" i="6"/>
  <c r="A370" i="6"/>
  <c r="A371" i="6"/>
  <c r="A372" i="6"/>
  <c r="A373" i="6"/>
  <c r="A374" i="6"/>
  <c r="A375" i="6"/>
  <c r="A376" i="6"/>
  <c r="A377" i="6"/>
  <c r="A378" i="6"/>
  <c r="A379" i="6"/>
  <c r="A380" i="6"/>
  <c r="A381" i="6"/>
  <c r="A382" i="6"/>
  <c r="A383" i="6"/>
  <c r="A384" i="6"/>
  <c r="A385" i="6"/>
  <c r="A386" i="6"/>
  <c r="A387" i="6"/>
  <c r="A388" i="6"/>
  <c r="A389" i="6"/>
  <c r="A390" i="6"/>
  <c r="A391" i="6"/>
  <c r="A392" i="6"/>
  <c r="A393" i="6"/>
  <c r="A394" i="6"/>
  <c r="A395" i="6"/>
  <c r="A396" i="6"/>
  <c r="A397" i="6"/>
  <c r="A398" i="6"/>
  <c r="A399" i="6"/>
  <c r="A400" i="6"/>
  <c r="A401" i="6"/>
  <c r="A402" i="6"/>
  <c r="A403" i="6"/>
  <c r="A404" i="6"/>
  <c r="A405" i="6"/>
  <c r="A406" i="6"/>
  <c r="A407" i="6"/>
  <c r="A408" i="6"/>
  <c r="A409" i="6"/>
  <c r="A410" i="6"/>
  <c r="A411" i="6"/>
  <c r="A412" i="6"/>
  <c r="A413" i="6"/>
  <c r="A414" i="6"/>
  <c r="A415" i="6"/>
  <c r="A416" i="6"/>
  <c r="A417" i="6"/>
  <c r="A418" i="6"/>
  <c r="A419" i="6"/>
  <c r="A420" i="6"/>
  <c r="A421" i="6"/>
  <c r="A422" i="6"/>
  <c r="A423" i="6"/>
  <c r="A424" i="6"/>
  <c r="A425" i="6"/>
  <c r="A426" i="6"/>
  <c r="A427" i="6"/>
  <c r="A428" i="6"/>
  <c r="A429" i="6"/>
  <c r="A430" i="6"/>
  <c r="A431" i="6"/>
  <c r="A432" i="6"/>
  <c r="A433" i="6"/>
  <c r="A434" i="6"/>
  <c r="A435" i="6"/>
  <c r="A436" i="6"/>
  <c r="A437" i="6"/>
  <c r="A438" i="6"/>
  <c r="A439" i="6"/>
  <c r="A440" i="6"/>
  <c r="A441" i="6"/>
  <c r="A442" i="6"/>
  <c r="A443" i="6"/>
  <c r="A444" i="6"/>
  <c r="A445" i="6"/>
  <c r="A446" i="6"/>
  <c r="A36" i="6"/>
  <c r="A38" i="6"/>
  <c r="A40" i="6"/>
  <c r="A42" i="6"/>
  <c r="A43" i="6"/>
  <c r="A48" i="6"/>
  <c r="A51" i="6"/>
  <c r="A66" i="6"/>
  <c r="A72" i="6"/>
  <c r="A74" i="6"/>
  <c r="A46" i="6"/>
  <c r="A33" i="6"/>
  <c r="B23" i="7"/>
  <c r="B24" i="7"/>
  <c r="B31" i="7" s="1"/>
  <c r="B38" i="7" s="1"/>
  <c r="B45" i="7" s="1"/>
  <c r="B52" i="7" s="1"/>
  <c r="B59" i="7" s="1"/>
  <c r="B66" i="7" s="1"/>
  <c r="B73" i="7" s="1"/>
  <c r="B80" i="7" s="1"/>
  <c r="B87" i="7" s="1"/>
  <c r="B94" i="7" s="1"/>
  <c r="B101" i="7" s="1"/>
  <c r="B108" i="7" s="1"/>
  <c r="B115" i="7" s="1"/>
  <c r="B122" i="7" s="1"/>
  <c r="B129" i="7" s="1"/>
  <c r="B136" i="7" s="1"/>
  <c r="B143" i="7" s="1"/>
  <c r="B150" i="7" s="1"/>
  <c r="B157" i="7" s="1"/>
  <c r="B164" i="7" s="1"/>
  <c r="B171" i="7" s="1"/>
  <c r="B178" i="7" s="1"/>
  <c r="B185" i="7" s="1"/>
  <c r="B192" i="7" s="1"/>
  <c r="B199" i="7" s="1"/>
  <c r="B206" i="7" s="1"/>
  <c r="B213" i="7" s="1"/>
  <c r="B220" i="7" s="1"/>
  <c r="B227" i="7" s="1"/>
  <c r="B234" i="7" s="1"/>
  <c r="B241" i="7" s="1"/>
  <c r="B248" i="7" s="1"/>
  <c r="B255" i="7" s="1"/>
  <c r="B262" i="7" s="1"/>
  <c r="B269" i="7" s="1"/>
  <c r="B276" i="7" s="1"/>
  <c r="B283" i="7" s="1"/>
  <c r="B290" i="7" s="1"/>
  <c r="B297" i="7" s="1"/>
  <c r="B304" i="7" s="1"/>
  <c r="B311" i="7" s="1"/>
  <c r="B318" i="7" s="1"/>
  <c r="B325" i="7" s="1"/>
  <c r="B332" i="7" s="1"/>
  <c r="B339" i="7" s="1"/>
  <c r="B346" i="7" s="1"/>
  <c r="B353" i="7" s="1"/>
  <c r="B360" i="7" s="1"/>
  <c r="B25" i="7"/>
  <c r="B32" i="7" s="1"/>
  <c r="B39" i="7" s="1"/>
  <c r="B46" i="7" s="1"/>
  <c r="B53" i="7" s="1"/>
  <c r="B60" i="7" s="1"/>
  <c r="B67" i="7" s="1"/>
  <c r="B74" i="7" s="1"/>
  <c r="B81" i="7" s="1"/>
  <c r="B88" i="7" s="1"/>
  <c r="B95" i="7" s="1"/>
  <c r="B102" i="7" s="1"/>
  <c r="B109" i="7" s="1"/>
  <c r="B116" i="7" s="1"/>
  <c r="B123" i="7" s="1"/>
  <c r="B130" i="7" s="1"/>
  <c r="B137" i="7" s="1"/>
  <c r="B144" i="7" s="1"/>
  <c r="B151" i="7" s="1"/>
  <c r="B158" i="7" s="1"/>
  <c r="B165" i="7" s="1"/>
  <c r="B172" i="7" s="1"/>
  <c r="B179" i="7" s="1"/>
  <c r="B186" i="7" s="1"/>
  <c r="B193" i="7" s="1"/>
  <c r="B200" i="7" s="1"/>
  <c r="B207" i="7" s="1"/>
  <c r="B214" i="7" s="1"/>
  <c r="B221" i="7" s="1"/>
  <c r="B228" i="7" s="1"/>
  <c r="B235" i="7" s="1"/>
  <c r="B242" i="7" s="1"/>
  <c r="B249" i="7" s="1"/>
  <c r="B256" i="7" s="1"/>
  <c r="B263" i="7" s="1"/>
  <c r="B270" i="7" s="1"/>
  <c r="B277" i="7" s="1"/>
  <c r="B284" i="7" s="1"/>
  <c r="B291" i="7" s="1"/>
  <c r="B298" i="7" s="1"/>
  <c r="B305" i="7" s="1"/>
  <c r="B312" i="7" s="1"/>
  <c r="B319" i="7" s="1"/>
  <c r="B326" i="7" s="1"/>
  <c r="B333" i="7" s="1"/>
  <c r="B340" i="7" s="1"/>
  <c r="B347" i="7" s="1"/>
  <c r="B354" i="7" s="1"/>
  <c r="B361" i="7" s="1"/>
  <c r="B26" i="7"/>
  <c r="B27" i="7"/>
  <c r="B28" i="7"/>
  <c r="B29" i="7"/>
  <c r="B30" i="7"/>
  <c r="B33" i="7"/>
  <c r="B34" i="7"/>
  <c r="B35" i="7"/>
  <c r="B36" i="7"/>
  <c r="B43" i="7" s="1"/>
  <c r="B50" i="7" s="1"/>
  <c r="B37" i="7"/>
  <c r="B44" i="7" s="1"/>
  <c r="B51" i="7" s="1"/>
  <c r="B40" i="7"/>
  <c r="B47" i="7" s="1"/>
  <c r="B54" i="7" s="1"/>
  <c r="B61" i="7" s="1"/>
  <c r="B68" i="7" s="1"/>
  <c r="B75" i="7" s="1"/>
  <c r="B82" i="7" s="1"/>
  <c r="B89" i="7" s="1"/>
  <c r="B96" i="7" s="1"/>
  <c r="B103" i="7" s="1"/>
  <c r="B110" i="7" s="1"/>
  <c r="B117" i="7" s="1"/>
  <c r="B124" i="7" s="1"/>
  <c r="B131" i="7" s="1"/>
  <c r="B138" i="7" s="1"/>
  <c r="B145" i="7" s="1"/>
  <c r="B152" i="7" s="1"/>
  <c r="B159" i="7" s="1"/>
  <c r="B166" i="7" s="1"/>
  <c r="B173" i="7" s="1"/>
  <c r="B180" i="7" s="1"/>
  <c r="B187" i="7" s="1"/>
  <c r="B194" i="7" s="1"/>
  <c r="B201" i="7" s="1"/>
  <c r="B208" i="7" s="1"/>
  <c r="B215" i="7" s="1"/>
  <c r="B222" i="7" s="1"/>
  <c r="B229" i="7" s="1"/>
  <c r="B236" i="7" s="1"/>
  <c r="B243" i="7" s="1"/>
  <c r="B250" i="7" s="1"/>
  <c r="B257" i="7" s="1"/>
  <c r="B264" i="7" s="1"/>
  <c r="B271" i="7" s="1"/>
  <c r="B278" i="7" s="1"/>
  <c r="B285" i="7" s="1"/>
  <c r="B292" i="7" s="1"/>
  <c r="B299" i="7" s="1"/>
  <c r="B306" i="7" s="1"/>
  <c r="B313" i="7" s="1"/>
  <c r="B320" i="7" s="1"/>
  <c r="B327" i="7" s="1"/>
  <c r="B334" i="7" s="1"/>
  <c r="B341" i="7" s="1"/>
  <c r="B348" i="7" s="1"/>
  <c r="B355" i="7" s="1"/>
  <c r="B362" i="7" s="1"/>
  <c r="B41" i="7"/>
  <c r="B48" i="7" s="1"/>
  <c r="B55" i="7" s="1"/>
  <c r="B62" i="7" s="1"/>
  <c r="B69" i="7" s="1"/>
  <c r="B76" i="7" s="1"/>
  <c r="B42" i="7"/>
  <c r="B49" i="7" s="1"/>
  <c r="B56" i="7" s="1"/>
  <c r="B57" i="7"/>
  <c r="B64" i="7" s="1"/>
  <c r="B71" i="7" s="1"/>
  <c r="B58" i="7"/>
  <c r="B65" i="7" s="1"/>
  <c r="B72" i="7" s="1"/>
  <c r="B79" i="7" s="1"/>
  <c r="B86" i="7" s="1"/>
  <c r="B93" i="7" s="1"/>
  <c r="B100" i="7" s="1"/>
  <c r="B107" i="7" s="1"/>
  <c r="B114" i="7" s="1"/>
  <c r="B121" i="7" s="1"/>
  <c r="B128" i="7" s="1"/>
  <c r="B135" i="7" s="1"/>
  <c r="B142" i="7" s="1"/>
  <c r="B149" i="7" s="1"/>
  <c r="B156" i="7" s="1"/>
  <c r="B163" i="7" s="1"/>
  <c r="B170" i="7" s="1"/>
  <c r="B177" i="7" s="1"/>
  <c r="B184" i="7" s="1"/>
  <c r="B191" i="7" s="1"/>
  <c r="B198" i="7" s="1"/>
  <c r="B205" i="7" s="1"/>
  <c r="B212" i="7" s="1"/>
  <c r="B219" i="7" s="1"/>
  <c r="B226" i="7" s="1"/>
  <c r="B233" i="7" s="1"/>
  <c r="B240" i="7" s="1"/>
  <c r="B247" i="7" s="1"/>
  <c r="B254" i="7" s="1"/>
  <c r="B261" i="7" s="1"/>
  <c r="B268" i="7" s="1"/>
  <c r="B275" i="7" s="1"/>
  <c r="B282" i="7" s="1"/>
  <c r="B289" i="7" s="1"/>
  <c r="B296" i="7" s="1"/>
  <c r="B303" i="7" s="1"/>
  <c r="B310" i="7" s="1"/>
  <c r="B317" i="7" s="1"/>
  <c r="B324" i="7" s="1"/>
  <c r="B331" i="7" s="1"/>
  <c r="B338" i="7" s="1"/>
  <c r="B345" i="7" s="1"/>
  <c r="B352" i="7" s="1"/>
  <c r="B359" i="7" s="1"/>
  <c r="B366" i="7" s="1"/>
  <c r="B63" i="7"/>
  <c r="B70" i="7" s="1"/>
  <c r="B77" i="7"/>
  <c r="B84" i="7" s="1"/>
  <c r="B91" i="7" s="1"/>
  <c r="B98" i="7" s="1"/>
  <c r="B105" i="7" s="1"/>
  <c r="B112" i="7" s="1"/>
  <c r="B119" i="7" s="1"/>
  <c r="B126" i="7" s="1"/>
  <c r="B133" i="7" s="1"/>
  <c r="B140" i="7" s="1"/>
  <c r="B147" i="7" s="1"/>
  <c r="B154" i="7" s="1"/>
  <c r="B161" i="7" s="1"/>
  <c r="B168" i="7" s="1"/>
  <c r="B175" i="7" s="1"/>
  <c r="B182" i="7" s="1"/>
  <c r="B189" i="7" s="1"/>
  <c r="B196" i="7" s="1"/>
  <c r="B203" i="7" s="1"/>
  <c r="B210" i="7" s="1"/>
  <c r="B217" i="7" s="1"/>
  <c r="B224" i="7" s="1"/>
  <c r="B231" i="7" s="1"/>
  <c r="B238" i="7" s="1"/>
  <c r="B245" i="7" s="1"/>
  <c r="B252" i="7" s="1"/>
  <c r="B259" i="7" s="1"/>
  <c r="B266" i="7" s="1"/>
  <c r="B273" i="7" s="1"/>
  <c r="B280" i="7" s="1"/>
  <c r="B287" i="7" s="1"/>
  <c r="B294" i="7" s="1"/>
  <c r="B301" i="7" s="1"/>
  <c r="B308" i="7" s="1"/>
  <c r="B315" i="7" s="1"/>
  <c r="B322" i="7" s="1"/>
  <c r="B329" i="7" s="1"/>
  <c r="B336" i="7" s="1"/>
  <c r="B343" i="7" s="1"/>
  <c r="B350" i="7" s="1"/>
  <c r="B357" i="7" s="1"/>
  <c r="B364" i="7" s="1"/>
  <c r="B78" i="7"/>
  <c r="B85" i="7" s="1"/>
  <c r="B92" i="7" s="1"/>
  <c r="B99" i="7" s="1"/>
  <c r="B106" i="7" s="1"/>
  <c r="B113" i="7" s="1"/>
  <c r="B120" i="7" s="1"/>
  <c r="B127" i="7" s="1"/>
  <c r="B134" i="7" s="1"/>
  <c r="B141" i="7" s="1"/>
  <c r="B148" i="7" s="1"/>
  <c r="B155" i="7" s="1"/>
  <c r="B162" i="7" s="1"/>
  <c r="B169" i="7" s="1"/>
  <c r="B176" i="7" s="1"/>
  <c r="B183" i="7" s="1"/>
  <c r="B190" i="7" s="1"/>
  <c r="B197" i="7" s="1"/>
  <c r="B204" i="7" s="1"/>
  <c r="B211" i="7" s="1"/>
  <c r="B218" i="7" s="1"/>
  <c r="B225" i="7" s="1"/>
  <c r="B232" i="7" s="1"/>
  <c r="B239" i="7" s="1"/>
  <c r="B246" i="7" s="1"/>
  <c r="B253" i="7" s="1"/>
  <c r="B260" i="7" s="1"/>
  <c r="B267" i="7" s="1"/>
  <c r="B274" i="7" s="1"/>
  <c r="B281" i="7" s="1"/>
  <c r="B288" i="7" s="1"/>
  <c r="B295" i="7" s="1"/>
  <c r="B302" i="7" s="1"/>
  <c r="B309" i="7" s="1"/>
  <c r="B316" i="7" s="1"/>
  <c r="B323" i="7" s="1"/>
  <c r="B330" i="7" s="1"/>
  <c r="B337" i="7" s="1"/>
  <c r="B344" i="7" s="1"/>
  <c r="B351" i="7" s="1"/>
  <c r="B358" i="7" s="1"/>
  <c r="B365" i="7" s="1"/>
  <c r="B83" i="7"/>
  <c r="B90" i="7" s="1"/>
  <c r="B97" i="7"/>
  <c r="B104" i="7" s="1"/>
  <c r="B111" i="7" s="1"/>
  <c r="B118" i="7" s="1"/>
  <c r="B125" i="7" s="1"/>
  <c r="B132" i="7" s="1"/>
  <c r="B139" i="7" s="1"/>
  <c r="B146" i="7" s="1"/>
  <c r="B153" i="7" s="1"/>
  <c r="B160" i="7" s="1"/>
  <c r="B167" i="7" s="1"/>
  <c r="B174" i="7" s="1"/>
  <c r="B181" i="7" s="1"/>
  <c r="B188" i="7" s="1"/>
  <c r="B195" i="7" s="1"/>
  <c r="B202" i="7" s="1"/>
  <c r="B209" i="7" s="1"/>
  <c r="B216" i="7" s="1"/>
  <c r="B223" i="7" s="1"/>
  <c r="B230" i="7" s="1"/>
  <c r="B237" i="7" s="1"/>
  <c r="B244" i="7" s="1"/>
  <c r="B251" i="7" s="1"/>
  <c r="B258" i="7" s="1"/>
  <c r="B265" i="7" s="1"/>
  <c r="B272" i="7" s="1"/>
  <c r="B279" i="7" s="1"/>
  <c r="B286" i="7" s="1"/>
  <c r="B293" i="7" s="1"/>
  <c r="B300" i="7" s="1"/>
  <c r="B307" i="7" s="1"/>
  <c r="B314" i="7" s="1"/>
  <c r="B321" i="7" s="1"/>
  <c r="B328" i="7" s="1"/>
  <c r="B335" i="7" s="1"/>
  <c r="B342" i="7" s="1"/>
  <c r="B349" i="7" s="1"/>
  <c r="B356" i="7" s="1"/>
  <c r="B363" i="7" s="1"/>
  <c r="B21" i="7"/>
  <c r="B22" i="7"/>
  <c r="B16" i="7"/>
  <c r="B17" i="7"/>
  <c r="B18" i="7"/>
  <c r="B19" i="7"/>
  <c r="B20" i="7"/>
  <c r="B1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tc={0183F037-2CBE-4112-8426-8E454945119D}</author>
    <author>tc={D93B35F1-6126-49F0-BC60-653F046222E9}</author>
    <author>tc={5A8E346F-E53D-4BBB-848F-A1C20039CBBB}</author>
    <author>tc={F79C2972-297C-41CA-8843-CA47CB135351}</author>
    <author>tc={5867599F-CE04-4790-AFAF-AFD33A816A73}</author>
    <author>tc={FD9F783E-8E52-497E-AE04-AD1241596A30}</author>
    <author>tc={1D534BCA-8427-4D56-835E-F766105CE292}</author>
    <author>tc={B4072AC4-A8EE-4056-AF55-77278AA1688F}</author>
    <author>tc={6D15E7A5-F995-46E6-93A8-A476159ABD56}</author>
    <author>tc={CF413314-5518-4487-9E68-E5576FB49E1E}</author>
  </authors>
  <commentList>
    <comment ref="B7" authorId="0" shapeId="0" xr:uid="{0183F037-2CBE-4112-8426-8E454945119D}">
      <text>
        <t>[Threaded comment]
Your version of Excel allows you to read this threaded comment; however, any edits to it will get removed if the file is opened in a newer version of Excel. Learn more: https://go.microsoft.com/fwlink/?linkid=870924
Comment:
    Not sure the exact date.  BDR was redone after Aug ASM Rejection.</t>
      </text>
    </comment>
    <comment ref="E10" authorId="1" shapeId="0" xr:uid="{D93B35F1-6126-49F0-BC60-653F046222E9}">
      <text>
        <t>[Threaded comment]
Your version of Excel allows you to read this threaded comment; however, any edits to it will get removed if the file is opened in a newer version of Excel. Learn more: https://go.microsoft.com/fwlink/?linkid=870924
Comment:
    $500K was loaded.  The remaining $500K has not been approved</t>
      </text>
    </comment>
    <comment ref="F10" authorId="2" shapeId="0" xr:uid="{5A8E346F-E53D-4BBB-848F-A1C20039CBBB}">
      <text>
        <t>[Threaded comment]
Your version of Excel allows you to read this threaded comment; however, any edits to it will get removed if the file is opened in a newer version of Excel. Learn more: https://go.microsoft.com/fwlink/?linkid=870924
Comment:
    $500K was loaded.  The remaining $500K has not been approved</t>
      </text>
    </comment>
    <comment ref="G10" authorId="3" shapeId="0" xr:uid="{F79C2972-297C-41CA-8843-CA47CB135351}">
      <text>
        <t>[Threaded comment]
Your version of Excel allows you to read this threaded comment; however, any edits to it will get removed if the file is opened in a newer version of Excel. Learn more: https://go.microsoft.com/fwlink/?linkid=870924
Comment:
    $500K was loaded.  The remaining $500K has not been approved</t>
      </text>
    </comment>
    <comment ref="H10" authorId="4" shapeId="0" xr:uid="{5867599F-CE04-4790-AFAF-AFD33A816A73}">
      <text>
        <t>[Threaded comment]
Your version of Excel allows you to read this threaded comment; however, any edits to it will get removed if the file is opened in a newer version of Excel. Learn more: https://go.microsoft.com/fwlink/?linkid=870924
Comment:
    $500K was loaded.  The remaining $500K has not been approved</t>
      </text>
    </comment>
    <comment ref="C13" authorId="5" shapeId="0" xr:uid="{FD9F783E-8E52-497E-AE04-AD1241596A30}">
      <text>
        <t>[Threaded comment]
Your version of Excel allows you to read this threaded comment; however, any edits to it will get removed if the file is opened in a newer version of Excel. Learn more: https://go.microsoft.com/fwlink/?linkid=870924
Comment:
    Received partial 60% need remaining $784.5K that requires CPC approval by 6/26/26</t>
      </text>
    </comment>
    <comment ref="D14" authorId="6" shapeId="0" xr:uid="{1D534BCA-8427-4D56-835E-F766105CE292}">
      <text>
        <t>[Threaded comment]
Your version of Excel allows you to read this threaded comment; however, any edits to it will get removed if the file is opened in a newer version of Excel. Learn more: https://go.microsoft.com/fwlink/?linkid=870924
Comment:
    Partial 90% approved.  Need additional 417K requires CPC approval by 6/12/26</t>
      </text>
    </comment>
    <comment ref="F16" authorId="7" shapeId="0" xr:uid="{B4072AC4-A8EE-4056-AF55-77278AA1688F}">
      <text>
        <t>[Threaded comment]
Your version of Excel allows you to read this threaded comment; however, any edits to it will get removed if the file is opened in a newer version of Excel. Learn more: https://go.microsoft.com/fwlink/?linkid=870924
Comment:
    At Risk due Karisa availability.  Site Selection Trip not planned until 8/25</t>
      </text>
    </comment>
    <comment ref="A17" authorId="8" shapeId="0" xr:uid="{6D15E7A5-F995-46E6-93A8-A476159ABD56}">
      <text>
        <t>[Threaded comment]
Your version of Excel allows you to read this threaded comment; however, any edits to it will get removed if the file is opened in a newer version of Excel. Learn more: https://go.microsoft.com/fwlink/?linkid=870924
Comment:
    Start of Desing is the first Monday after receiving 30% Design DD</t>
      </text>
    </comment>
    <comment ref="D64" authorId="9" shapeId="0" xr:uid="{CF413314-5518-4487-9E68-E5576FB49E1E}">
      <text>
        <t>[Threaded comment]
Your version of Excel allows you to read this threaded comment; however, any edits to it will get removed if the file is opened in a newer version of Excel. Learn more: https://go.microsoft.com/fwlink/?linkid=870924
Comment:
    Got pulled from the agenda on 4/23/26 due to a legal not having the right signature.  Pending Rescheduling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tc={1BD1A3FC-3E26-4C29-9A8F-E0AF0B3B2E12}</author>
  </authors>
  <commentList>
    <comment ref="C7" authorId="0" shapeId="0" xr:uid="{1BD1A3FC-3E26-4C29-9A8F-E0AF0B3B2E12}">
      <text>
        <t>[Threaded comment]
Your version of Excel allows you to read this threaded comment; however, any edits to it will get removed if the file is opened in a newer version of Excel. Learn more: https://go.microsoft.com/fwlink/?linkid=870924
Comment:
    This USDC is for the Land Bank</t>
      </text>
    </comment>
  </commentList>
</comments>
</file>

<file path=xl/sharedStrings.xml><?xml version="1.0" encoding="utf-8"?>
<sst xmlns="http://schemas.openxmlformats.org/spreadsheetml/2006/main" count="1741" uniqueCount="674">
  <si>
    <t>Fulfillment New Assets SteerCo (Tuesday's)</t>
  </si>
  <si>
    <t>Date</t>
  </si>
  <si>
    <t>Status</t>
  </si>
  <si>
    <t>Topic</t>
  </si>
  <si>
    <t>Mins</t>
  </si>
  <si>
    <t>PGM POC</t>
  </si>
  <si>
    <t>Lead(s)</t>
  </si>
  <si>
    <t>Required Attendees:</t>
  </si>
  <si>
    <t>Notes</t>
  </si>
  <si>
    <t>Completed</t>
  </si>
  <si>
    <t>Inform:  Revised 5-yr Asset Plan and Capacity Deficits</t>
  </si>
  <si>
    <t>Travis &amp; Ellen</t>
  </si>
  <si>
    <t>Centroid: Hrishi/Neeraj</t>
  </si>
  <si>
    <t>Per alignment from Adam/Phil/CR</t>
  </si>
  <si>
    <t>Post Audit results and next steps</t>
  </si>
  <si>
    <t>Travis</t>
  </si>
  <si>
    <t>Finance: Matt T, PK S</t>
  </si>
  <si>
    <t>Grey Orange</t>
  </si>
  <si>
    <t>Ellen</t>
  </si>
  <si>
    <t>Xuejing Zhao</t>
  </si>
  <si>
    <t>Final review of Post Audit deck; pre-V.S. 5/2</t>
  </si>
  <si>
    <t>Matt T</t>
  </si>
  <si>
    <t xml:space="preserve">Prelim Eng Design Sign-off for NG Southeast </t>
  </si>
  <si>
    <t xml:space="preserve">Kourtney </t>
  </si>
  <si>
    <t>Lauren Siller</t>
  </si>
  <si>
    <t>DFW3 / Grey Orange</t>
  </si>
  <si>
    <t>Xuejing Z, Mike S</t>
  </si>
  <si>
    <t>Final Review of NextGen SE Proposal deck for DD</t>
  </si>
  <si>
    <t>Various</t>
  </si>
  <si>
    <t>Move to 5/1 Next Gen SteerCo</t>
  </si>
  <si>
    <t xml:space="preserve">Non-Sort Purchase Strategy </t>
  </si>
  <si>
    <t xml:space="preserve">Jess, Ellen </t>
  </si>
  <si>
    <t xml:space="preserve">Centroid: Rohit Singhal </t>
  </si>
  <si>
    <t>DFW5/PHL5 Checklist &amp; Resource Coverage</t>
  </si>
  <si>
    <t>Liz</t>
  </si>
  <si>
    <t>Mike Spigoda</t>
  </si>
  <si>
    <t>Revised 5 yr Asset Plan and Capacity Deficits Follow-up:  Non-sort summary + overal network next steps/game plan</t>
  </si>
  <si>
    <t>Centroid: Hrishi/Rohit</t>
  </si>
  <si>
    <t>Not covered 4.22 due to time overrun.  Pushing to next week.  Per 4/23 convo with Hrishi; can target 5/6 Mtg for combined sort/non-sort review + next steps</t>
  </si>
  <si>
    <t>Update:  Fulfillment Portfolio Prioritization "MVP"</t>
  </si>
  <si>
    <t>Travis, Ellen</t>
  </si>
  <si>
    <t>Share initial view per request last week; discuss next steps</t>
  </si>
  <si>
    <t xml:space="preserve">Non-Sort CLT2 Engineering Design 30% Sign Off </t>
  </si>
  <si>
    <t xml:space="preserve">Jess Stahl </t>
  </si>
  <si>
    <t xml:space="preserve">IND1 (2-tier + ICC) Engineering Design </t>
  </si>
  <si>
    <t xml:space="preserve">Kanistha </t>
  </si>
  <si>
    <t>Decide: Prioritization Next Steps</t>
  </si>
  <si>
    <t>Team</t>
  </si>
  <si>
    <t>Decide: NE &amp; W BDR Sign-off</t>
  </si>
  <si>
    <t>Hrishi, Neeraj</t>
  </si>
  <si>
    <t>Moved from prior meetings; need to complete.  Discussed 5/27, did not finalize.</t>
  </si>
  <si>
    <t>Discuss: 2-Tier Business Case and Product LOE</t>
  </si>
  <si>
    <t>Phoebe F, Manny R</t>
  </si>
  <si>
    <t>Alex R, Ron J, +</t>
  </si>
  <si>
    <t>Provide update post alignment from Ops, Centroid, and Finance</t>
  </si>
  <si>
    <t>Adam, Vik, CR, Phil, Jacob</t>
  </si>
  <si>
    <t xml:space="preserve">Receieved approval sign-off with Ops offline approval </t>
  </si>
  <si>
    <t xml:space="preserve">Discuss/Decide: Approach to accelerate pre-buy request to fast-follow RECC DD request </t>
  </si>
  <si>
    <t>Partially Discussed: Moved to 6/17 for decsion</t>
  </si>
  <si>
    <t>Energy Efficiency Projects</t>
  </si>
  <si>
    <t>Rachel Paulk</t>
  </si>
  <si>
    <t>Planning for VS on 6/20, then SC DB/Eng SteerCo TBD</t>
  </si>
  <si>
    <t>Off</t>
  </si>
  <si>
    <t>SE Next Gen 30% Design Review</t>
  </si>
  <si>
    <t>Nicole B</t>
  </si>
  <si>
    <t>(Inform to KS on 6/20)</t>
  </si>
  <si>
    <t xml:space="preserve">Discuss/Decide: Approach to accelerate pre-buy request to fast-follow REC DD request </t>
  </si>
  <si>
    <t>Approved to move forward to CPC and ASM without 30% design</t>
  </si>
  <si>
    <t xml:space="preserve">Inform: IND1 + Non Sort Governance Timelines </t>
  </si>
  <si>
    <t xml:space="preserve">Ellen Sloneker </t>
  </si>
  <si>
    <t>Next Gen SE Full Review: DD &amp; Prebuy REC to ASM</t>
  </si>
  <si>
    <t>Multiple</t>
  </si>
  <si>
    <t xml:space="preserve">Review Non-Sort and IND1 (2-tier + ICC) CPC Deck </t>
  </si>
  <si>
    <t>Adam, Vik, CR, Phil, Jacob, Ameya, Hrishi</t>
  </si>
  <si>
    <t xml:space="preserve">IND1 - Two-Tier + ICC Symbotic Engineering Design - Preliminary Review  _ Sign Off </t>
  </si>
  <si>
    <t>Kanistha Coombs</t>
  </si>
  <si>
    <t>Joaquin Diaz Martin</t>
  </si>
  <si>
    <t xml:space="preserve">Ada Dunbar, Mike Spigoda  Karen Slatton </t>
  </si>
  <si>
    <t>West Next Gen: Site Selection</t>
  </si>
  <si>
    <t xml:space="preserve">Vantage was approved to move forward to Karisa </t>
  </si>
  <si>
    <t>SMF2 - Budget Deep Dive and Ad Hoc Requests</t>
  </si>
  <si>
    <t>Liz Glenn</t>
  </si>
  <si>
    <t>SMF2 Budget Review</t>
  </si>
  <si>
    <t xml:space="preserve">Follow up from 7/11. </t>
  </si>
  <si>
    <t>TBD</t>
  </si>
  <si>
    <r>
      <rPr>
        <b/>
        <sz val="11"/>
        <color theme="1"/>
        <rFont val="Everyday Sans"/>
        <family val="3"/>
      </rPr>
      <t xml:space="preserve">Decide: </t>
    </r>
    <r>
      <rPr>
        <sz val="11"/>
        <color theme="1"/>
        <rFont val="Everyday Sans"/>
        <family val="3"/>
      </rPr>
      <t>NE, W, &amp; SE: DD Prebuy, and Land Bank Proposal approval prior to VS Review</t>
    </r>
  </si>
  <si>
    <t>Kourtney</t>
  </si>
  <si>
    <t>SMF2 Budget Update August</t>
  </si>
  <si>
    <t xml:space="preserve">Liz </t>
  </si>
  <si>
    <t>Liz G</t>
  </si>
  <si>
    <t>Adam, Vik, CR, Phil, Jacob, Brian</t>
  </si>
  <si>
    <t>Inform : Status of all active projects budgets. Follow up on SMF2 open actions</t>
  </si>
  <si>
    <t>Decide: IND1  2Tier Operations and Review</t>
  </si>
  <si>
    <t>Kanistha</t>
  </si>
  <si>
    <t>Joaquin</t>
  </si>
  <si>
    <r>
      <rPr>
        <b/>
        <sz val="11"/>
        <color theme="1"/>
        <rFont val="Everyday Sans"/>
        <family val="3"/>
      </rPr>
      <t>Inform:</t>
    </r>
    <r>
      <rPr>
        <sz val="11"/>
        <color theme="1"/>
        <rFont val="Everyday Sans"/>
        <family val="3"/>
      </rPr>
      <t xml:space="preserve"> NE Site Selection - Risk </t>
    </r>
  </si>
  <si>
    <t xml:space="preserve">Allison    </t>
  </si>
  <si>
    <t>Going to VS on 8/8</t>
  </si>
  <si>
    <r>
      <rPr>
        <b/>
        <sz val="11"/>
        <color theme="1"/>
        <rFont val="Everyday Sans"/>
        <family val="3"/>
      </rPr>
      <t>Inform:</t>
    </r>
    <r>
      <rPr>
        <sz val="11"/>
        <color theme="1"/>
        <rFont val="Everyday Sans"/>
        <family val="3"/>
      </rPr>
      <t xml:space="preserve"> West Site Section- Risk </t>
    </r>
  </si>
  <si>
    <r>
      <rPr>
        <b/>
        <sz val="11"/>
        <color theme="1"/>
        <rFont val="Everyday Sans"/>
        <family val="3"/>
      </rPr>
      <t>Review</t>
    </r>
    <r>
      <rPr>
        <sz val="11"/>
        <color theme="1"/>
        <rFont val="Everyday Sans"/>
        <family val="3"/>
      </rPr>
      <t>: SE Next Gen CPC Feedback Review</t>
    </r>
  </si>
  <si>
    <t>ORD1 Mezzanine Follow-up</t>
  </si>
  <si>
    <t>Tabitha M / MaryEllen K</t>
  </si>
  <si>
    <t>Adam, Vik, Jacob, ...</t>
  </si>
  <si>
    <t>9.2.2025</t>
  </si>
  <si>
    <t>Scheduled</t>
  </si>
  <si>
    <r>
      <rPr>
        <b/>
        <sz val="11"/>
        <color theme="1"/>
        <rFont val="Everyday Sans"/>
        <family val="3"/>
      </rPr>
      <t>Decide:</t>
    </r>
    <r>
      <rPr>
        <sz val="11"/>
        <color theme="1"/>
        <rFont val="Everyday Sans"/>
        <family val="3"/>
      </rPr>
      <t xml:space="preserve"> Site Selection NE NonSort(Hartford, CT and Central PA. </t>
    </r>
    <r>
      <rPr>
        <b/>
        <sz val="11"/>
        <color theme="1"/>
        <rFont val="Everyday Sans"/>
        <family val="3"/>
      </rPr>
      <t>Align</t>
    </r>
    <r>
      <rPr>
        <sz val="11"/>
        <color theme="1"/>
        <rFont val="Everyday Sans"/>
        <family val="3"/>
      </rPr>
      <t xml:space="preserve">: FY29 + FY30 Non-Sort Asset Strategy </t>
    </r>
  </si>
  <si>
    <t>Rodrigo, Allison , Joaquin</t>
  </si>
  <si>
    <t xml:space="preserve">Adam, Vik, CR, Phil, Jacob, Brian, Bradon Massey </t>
  </si>
  <si>
    <r>
      <rPr>
        <strike/>
        <sz val="11"/>
        <color theme="1"/>
        <rFont val="Everyday Sans"/>
        <family val="3"/>
      </rPr>
      <t>7/29/2025</t>
    </r>
    <r>
      <rPr>
        <sz val="11"/>
        <color theme="1"/>
        <rFont val="Everyday Sans"/>
        <family val="3"/>
      </rPr>
      <t xml:space="preserve">
</t>
    </r>
    <r>
      <rPr>
        <sz val="11"/>
        <color rgb="FFFF0000"/>
        <rFont val="Everyday Sans"/>
        <family val="3"/>
      </rPr>
      <t>Move to 7/30</t>
    </r>
  </si>
  <si>
    <r>
      <rPr>
        <b/>
        <sz val="11"/>
        <color theme="1"/>
        <rFont val="Everyday Sans"/>
        <family val="3"/>
      </rPr>
      <t>Discuss:</t>
    </r>
    <r>
      <rPr>
        <sz val="11"/>
        <color theme="1"/>
        <rFont val="Everyday Sans"/>
        <family val="3"/>
      </rPr>
      <t xml:space="preserve"> NE/W Status - Discuss risks to plan and align on expectations</t>
    </r>
  </si>
  <si>
    <t>VPs</t>
  </si>
  <si>
    <t>This was Pre-read only</t>
  </si>
  <si>
    <r>
      <rPr>
        <b/>
        <sz val="11"/>
        <color theme="1"/>
        <rFont val="Everyday Sans"/>
        <family val="3"/>
      </rPr>
      <t>Decide:</t>
    </r>
    <r>
      <rPr>
        <sz val="11"/>
        <color theme="1"/>
        <rFont val="Everyday Sans"/>
        <family val="3"/>
      </rPr>
      <t xml:space="preserve"> SE NG 30% Design Buidling Infrastructure</t>
    </r>
  </si>
  <si>
    <t>Building Infrastructure – 65’ Clear, Building Size for Offline Area, Mezzanine Pre-Build for Flexibility
IP Assumptions to Enable Handoff to Construction</t>
  </si>
  <si>
    <r>
      <rPr>
        <b/>
        <sz val="11"/>
        <color theme="1"/>
        <rFont val="Everyday Sans"/>
        <family val="3"/>
      </rPr>
      <t>Decide:</t>
    </r>
    <r>
      <rPr>
        <sz val="11"/>
        <color theme="1"/>
        <rFont val="Everyday Sans"/>
        <family val="3"/>
      </rPr>
      <t xml:space="preserve">  IP BDR Sign-off</t>
    </r>
  </si>
  <si>
    <t>Vijay</t>
  </si>
  <si>
    <t>Decide: BRD Leadership Sign-off going to VS 8/8</t>
  </si>
  <si>
    <t>SMF2 Next Gen Totes</t>
  </si>
  <si>
    <t>Mahil and David D</t>
  </si>
  <si>
    <t>Review the tote selection for SMF2</t>
  </si>
  <si>
    <r>
      <rPr>
        <b/>
        <sz val="11"/>
        <color theme="1"/>
        <rFont val="Everyday Sans"/>
        <family val="3"/>
      </rPr>
      <t>Update</t>
    </r>
    <r>
      <rPr>
        <sz val="11"/>
        <color theme="1"/>
        <rFont val="Everyday Sans"/>
        <family val="3"/>
      </rPr>
      <t>: SE Next Gen - White Paper/PPT Update</t>
    </r>
  </si>
  <si>
    <r>
      <rPr>
        <b/>
        <sz val="11"/>
        <color theme="1"/>
        <rFont val="Everyday Sans"/>
        <family val="3"/>
      </rPr>
      <t>Decide:</t>
    </r>
    <r>
      <rPr>
        <sz val="11"/>
        <color theme="1"/>
        <rFont val="Everyday Sans"/>
        <family val="3"/>
      </rPr>
      <t xml:space="preserve"> DFW5/PHL5 BDR sign-off</t>
    </r>
  </si>
  <si>
    <t>Neeraj, Pradeep</t>
  </si>
  <si>
    <t>BDR provided to Eng on 4/21.  Eng has stopped review due to direction; if directed to restart will need ~1-1.5 weeks for Eng review and then ~1 week for Cen revisions.</t>
  </si>
  <si>
    <t>Inform: Peak Shaving Follow-up</t>
  </si>
  <si>
    <t>N/A</t>
  </si>
  <si>
    <t>Adam, Hrishi, Vik</t>
  </si>
  <si>
    <t>Jack A, (Merch?)</t>
  </si>
  <si>
    <t>Dropped from 5/27 per Hrishi</t>
  </si>
  <si>
    <t>Decide: West Site Selection</t>
  </si>
  <si>
    <t>Adam, Vik</t>
  </si>
  <si>
    <r>
      <rPr>
        <b/>
        <sz val="11"/>
        <color theme="1"/>
        <rFont val="Everyday Sans"/>
        <family val="3"/>
      </rPr>
      <t>Decide:</t>
    </r>
    <r>
      <rPr>
        <sz val="11"/>
        <color theme="1"/>
        <rFont val="Everyday Sans"/>
        <family val="3"/>
      </rPr>
      <t xml:space="preserve"> NG Norheast and West Prelim Eng Design Sign-off</t>
    </r>
  </si>
  <si>
    <r>
      <rPr>
        <b/>
        <sz val="11"/>
        <color theme="1"/>
        <rFont val="Everyday Sans"/>
        <family val="3"/>
      </rPr>
      <t>Decide:</t>
    </r>
    <r>
      <rPr>
        <sz val="11"/>
        <color theme="1"/>
        <rFont val="Everyday Sans"/>
        <family val="3"/>
      </rPr>
      <t xml:space="preserve"> NG Nov Capital Cycle Approval </t>
    </r>
  </si>
  <si>
    <r>
      <rPr>
        <b/>
        <sz val="11"/>
        <color theme="1"/>
        <rFont val="Everyday Sans"/>
        <family val="3"/>
      </rPr>
      <t>Decide:</t>
    </r>
    <r>
      <rPr>
        <sz val="11"/>
        <color theme="1"/>
        <rFont val="Everyday Sans"/>
        <family val="3"/>
      </rPr>
      <t xml:space="preserve"> Non-Sort || BDL DD + Central PA Site Selection </t>
    </r>
  </si>
  <si>
    <t>VS on 9/26</t>
  </si>
  <si>
    <t>Decide: LAX2 ICC Expansion FY27</t>
  </si>
  <si>
    <t>Vik, Phil, Adam, Ameya, Akash, Joaquin, MaryEllen, Kyle Caryle</t>
  </si>
  <si>
    <t>VS on 9/26
a) Review design and operational modifications within LAX2 to partially support LRP need for next year 
b) Review options recommended (with associated pros and cons of each option) to help bridge the capacity need for FY27 and FY28 
c) Future roadmap for ICCs needed based on current LRP projections.</t>
  </si>
  <si>
    <t>Inform: IND1 2 Tier Decision Board Pre-Review</t>
  </si>
  <si>
    <t>Vik, Phil, Adam, Ameya, Akash, Joaquin, MaryEllen</t>
  </si>
  <si>
    <t>VS on 9/26
Review updated deck with Karisa'a feedback on:
a) a clear outline of the process flow through the current engineering design
b) updated business case outlining how seller fees are being subsidised</t>
  </si>
  <si>
    <t>Decide: Next Gen SE Land Purchase and Design Fees</t>
  </si>
  <si>
    <t>Kourtney Miller</t>
  </si>
  <si>
    <t>Joaquin Diaz Martin, Alayah Silas, Manny Rodriguez</t>
  </si>
  <si>
    <t>Vik, Phil, Adam, Hrishi</t>
  </si>
  <si>
    <t xml:space="preserve">Review updates on engineering design from 9/23 Asset SteerCo </t>
  </si>
  <si>
    <t>PHL5/DFW5 Buisness Case Discussion</t>
  </si>
  <si>
    <t>Nicole B, Neerja, Luke P</t>
  </si>
  <si>
    <t>Discuss the PHL5/DFW5 buisness case and next steps</t>
  </si>
  <si>
    <t xml:space="preserve">Decide: DFW5/PHL5 Path Forward </t>
  </si>
  <si>
    <t xml:space="preserve">Nicole Blyth, Dave Hall </t>
  </si>
  <si>
    <t xml:space="preserve">Mike Spigoda, Phil, Adam, Hrishi, Jacob Shub, Dave Hall </t>
  </si>
  <si>
    <t xml:space="preserve">What needs to be true to hit a December governance timeline and FY27 pre-peak go live. </t>
  </si>
  <si>
    <t>Align: Supply Chain Decision board feedback and  next steps (NextGen + IND1-Two Tier + ICC)</t>
  </si>
  <si>
    <t xml:space="preserve">Kanistha Coombs and Kourtney Miller </t>
  </si>
  <si>
    <t>Joaquin Diaz Martin, Nicole Blyth, Manny Rodriguez</t>
  </si>
  <si>
    <t xml:space="preserve">Mike Spigoda, Phil, Adam, Hrishi, Jacob Shub, Barat Smith, Mitch Fevold </t>
  </si>
  <si>
    <t>Debrief and align next steps following SCDB</t>
  </si>
  <si>
    <t xml:space="preserve">Non-Sort Optimization </t>
  </si>
  <si>
    <t xml:space="preserve">Scott Smith </t>
  </si>
  <si>
    <t xml:space="preserve">LAX2 ICC Expansion </t>
  </si>
  <si>
    <t>IND1 FAQ Review</t>
  </si>
  <si>
    <t>Hrishi, Fede, Noah, Manny, Mo, Vamsi</t>
  </si>
  <si>
    <t>Vik, Phil, Jacob, Alex, Adam</t>
  </si>
  <si>
    <t xml:space="preserve">NE &amp; W CapEx </t>
  </si>
  <si>
    <t>Nicole B, Kodi, Neeraj, Allison, Zach</t>
  </si>
  <si>
    <t>DFW5/PHL5 Expansions</t>
  </si>
  <si>
    <t>Pre-Read</t>
  </si>
  <si>
    <t>Luke Pullock/Nicole B</t>
  </si>
  <si>
    <t>Buisness case update</t>
  </si>
  <si>
    <t xml:space="preserve">SMF2 Yard Truck </t>
  </si>
  <si>
    <t>Maryellen /Liz Glenn</t>
  </si>
  <si>
    <t>Adam, Barat</t>
  </si>
  <si>
    <t>Adam, Mike S, CR, Phil, Jacob, Karen</t>
  </si>
  <si>
    <t>Tentative</t>
  </si>
  <si>
    <t>LAX2 Design Sign off</t>
  </si>
  <si>
    <t>Noah</t>
  </si>
  <si>
    <t>IP Design 60% Sign off</t>
  </si>
  <si>
    <t>Non-Sort Asset FY29/FY30 - BDL, CVG, Central PA (x2)</t>
  </si>
  <si>
    <t>Nicole B &amp; Luke Polluck</t>
  </si>
  <si>
    <t>Adam,Mike, CR, Phil, Jacob, Karen</t>
  </si>
  <si>
    <t>Pre-Read PHX2 90%</t>
  </si>
  <si>
    <t>Wil Elshoff, Scott Smith</t>
  </si>
  <si>
    <t xml:space="preserve">WFS RC Intergration </t>
  </si>
  <si>
    <t>Scott Smith, Aditya Afle, Christy Olsen, Bucky Bailess</t>
  </si>
  <si>
    <t>Adam, Sylvester, Phil, Jacob, Karen</t>
  </si>
  <si>
    <t>Noah Jackson &amp; Mike Spigoda</t>
  </si>
  <si>
    <t>Complete</t>
  </si>
  <si>
    <t>LAX2 Strategy and BC Review</t>
  </si>
  <si>
    <t>Federico Laino, Manny Rodriguez 
cc: Akash Agrawal</t>
  </si>
  <si>
    <t>Adam, Mike S., Phil, Jacob</t>
  </si>
  <si>
    <t>LAX Standalone ICC BDR Review</t>
  </si>
  <si>
    <t>Federico Laino, Hrishi Badve</t>
  </si>
  <si>
    <t>Adam, CR, Phil</t>
  </si>
  <si>
    <t>DFW5/ PHL5 Expansions - DD Fund ask + 60% design sign off</t>
  </si>
  <si>
    <t xml:space="preserve">Automation Counsel 11/13 </t>
  </si>
  <si>
    <t>BRD and ENG Concept Design FY29 Nonsort CVG2, PHL6, BDL1</t>
  </si>
  <si>
    <t xml:space="preserve">Ellen </t>
  </si>
  <si>
    <t>Akkshit,  Joaquin Diaz</t>
  </si>
  <si>
    <t>SMF2 Budget Update- PreRead Only</t>
  </si>
  <si>
    <t xml:space="preserve">Liz , Kodi </t>
  </si>
  <si>
    <t xml:space="preserve">FL9 Lease Renewal </t>
  </si>
  <si>
    <t xml:space="preserve">Allison Coontz, Manny Rodriguez, Loren Beightol </t>
  </si>
  <si>
    <t xml:space="preserve">LAX2 Budget + Strategy </t>
  </si>
  <si>
    <t>Pre-Read FL9 Lease Renewal</t>
  </si>
  <si>
    <t>--</t>
  </si>
  <si>
    <t xml:space="preserve">PHL1 IP Phase 2 Design </t>
  </si>
  <si>
    <t>Nicole Blythe</t>
  </si>
  <si>
    <t>Adam Dunbar, Mike Spigoda, Karen Slatton, Phil Herr, Jacob Shub</t>
  </si>
  <si>
    <t>New Next Gen (Closed Session)</t>
  </si>
  <si>
    <t>Adam Dunbar, Mike Spigoda, Karen Slatton, Phil Herr, Jacob Shub , PK, Brandon</t>
  </si>
  <si>
    <t xml:space="preserve">LAX1 Sorter </t>
  </si>
  <si>
    <t>Not Scheduled</t>
  </si>
  <si>
    <t>Non-Sort EV Yard Truck Review</t>
  </si>
  <si>
    <t>Scott Smith, Wil Elshoff, Devin Pitts</t>
  </si>
  <si>
    <t>Adam Dunbar, Mike Spigoda, Karen Slatton, Phil Herr, Dave Hall</t>
  </si>
  <si>
    <t>Atlas Roadmap Discusson : Closed Session</t>
  </si>
  <si>
    <t xml:space="preserve">Meghan </t>
  </si>
  <si>
    <t xml:space="preserve"> </t>
  </si>
  <si>
    <t>Peak Pop Up Discussion</t>
  </si>
  <si>
    <t>Expansions : RRF Funds Review</t>
  </si>
  <si>
    <t>Luke</t>
  </si>
  <si>
    <t>SMF2 Budget</t>
  </si>
  <si>
    <t>LAX2 ICC Expansion : CPC Preview</t>
  </si>
  <si>
    <t>NE &amp; W CapEx Pulse Check (Closed Session)</t>
  </si>
  <si>
    <t>Andrew &amp; Kodi</t>
  </si>
  <si>
    <t>Peak Pop Up SCDB</t>
  </si>
  <si>
    <t>SCDB on 1/12</t>
  </si>
  <si>
    <t>IND1 Opertaionl Update</t>
  </si>
  <si>
    <t>*-</t>
  </si>
  <si>
    <t>Forum</t>
  </si>
  <si>
    <t>Vertical Start-up</t>
  </si>
  <si>
    <t>Wallkill Business Case</t>
  </si>
  <si>
    <t>Wallkill Status Update</t>
  </si>
  <si>
    <t>Matt Termeer</t>
  </si>
  <si>
    <t>Kodi Pratt</t>
  </si>
  <si>
    <t>Greg Nunn, Jason Klipa</t>
  </si>
  <si>
    <t>Inform</t>
  </si>
  <si>
    <t>Purpose</t>
  </si>
  <si>
    <t>NextGen SteerCo</t>
  </si>
  <si>
    <t>Cost to Server</t>
  </si>
  <si>
    <t xml:space="preserve">REC Dry Run </t>
  </si>
  <si>
    <t>Offline</t>
  </si>
  <si>
    <t>Ellen Sloneker</t>
  </si>
  <si>
    <t>Nicole Byth</t>
  </si>
  <si>
    <t>Kelly Boyle, Micah Baldwin, Joel Beckwith, Fred Gulley</t>
  </si>
  <si>
    <t>Discuss</t>
  </si>
  <si>
    <t>Decide</t>
  </si>
  <si>
    <t>Add Project Antelope to Carnesville Business Case</t>
  </si>
  <si>
    <t>Karisa Sprague, Adam Dunbar, Barat Smith</t>
  </si>
  <si>
    <t>Governance Date</t>
  </si>
  <si>
    <t>Wallkill Timeline Update</t>
  </si>
  <si>
    <t>Carnesville Maintenance Strategy</t>
  </si>
  <si>
    <t>Presentation Link</t>
  </si>
  <si>
    <t>Wallkill VS Update</t>
  </si>
  <si>
    <t>SteerCo 4/3</t>
  </si>
  <si>
    <t>SteerCo 4/4</t>
  </si>
  <si>
    <t>Carnesville Full Capital Ask</t>
  </si>
  <si>
    <t>Adam Dunbar</t>
  </si>
  <si>
    <t>REC</t>
  </si>
  <si>
    <t>Rob's 1:1 w/Kieran</t>
  </si>
  <si>
    <t>CPC</t>
  </si>
  <si>
    <t>ASM</t>
  </si>
  <si>
    <t>Karisa Sprague</t>
  </si>
  <si>
    <t>Full approval for Carnesville</t>
  </si>
  <si>
    <t>Program</t>
  </si>
  <si>
    <t>NextGen</t>
  </si>
  <si>
    <t>WW</t>
  </si>
  <si>
    <t>Walmart Week</t>
  </si>
  <si>
    <t>DD for MCO, MSP, DEN, SEA</t>
  </si>
  <si>
    <t>Submitter</t>
  </si>
  <si>
    <t>Vijay Manoharan</t>
  </si>
  <si>
    <t>BDR for MCO</t>
  </si>
  <si>
    <t>BDR for MSP, DEN, SEA</t>
  </si>
  <si>
    <t>Dave Guggina, Karisa Sprague, Adam Dunbar, Jacob Shub, John Clinton, Vik Gopalakrishnan, Ellen Sloneker</t>
  </si>
  <si>
    <t>Pre-CPC feedback</t>
  </si>
  <si>
    <t>Due  Diligence 30% Work Ahead</t>
  </si>
  <si>
    <t>Due  Diligence:  30% Design</t>
  </si>
  <si>
    <t>Due  Diligence:  60% Design</t>
  </si>
  <si>
    <t>Due  Diligence:  CA Design</t>
  </si>
  <si>
    <t>30% Design Complete</t>
  </si>
  <si>
    <t>30% ROM Pricing</t>
  </si>
  <si>
    <t>60% Design Complete</t>
  </si>
  <si>
    <t>60% ROM Pricing</t>
  </si>
  <si>
    <t>90% Design Complete</t>
  </si>
  <si>
    <t>Out to Permit</t>
  </si>
  <si>
    <t>Permit Complete</t>
  </si>
  <si>
    <t>Construction Start</t>
  </si>
  <si>
    <t>Phase 1 Go-live</t>
  </si>
  <si>
    <t>Phase 2 Go-live</t>
  </si>
  <si>
    <t xml:space="preserve">Design and Construction </t>
  </si>
  <si>
    <t>Steer Co</t>
  </si>
  <si>
    <t>Vertical Start-Up</t>
  </si>
  <si>
    <t xml:space="preserve">SCDB Turn in </t>
  </si>
  <si>
    <t>RLM Turn-In</t>
  </si>
  <si>
    <t>RLM</t>
  </si>
  <si>
    <t>REC Turn-In</t>
  </si>
  <si>
    <t>CFO Review</t>
  </si>
  <si>
    <t>CPC Turn-In</t>
  </si>
  <si>
    <t>ASM Turn-In</t>
  </si>
  <si>
    <t>Carnesville, GA</t>
  </si>
  <si>
    <t xml:space="preserve">Southeast </t>
  </si>
  <si>
    <t xml:space="preserve"> ATL5</t>
  </si>
  <si>
    <t>Site Selected</t>
  </si>
  <si>
    <t>West</t>
  </si>
  <si>
    <t>Northeast</t>
  </si>
  <si>
    <t>Southeast</t>
  </si>
  <si>
    <t>Upper Midwest</t>
  </si>
  <si>
    <t>Mountain West</t>
  </si>
  <si>
    <t>Pacific Northwest</t>
  </si>
  <si>
    <t>Node</t>
  </si>
  <si>
    <t>State</t>
  </si>
  <si>
    <t>GA</t>
  </si>
  <si>
    <t>Airport Code</t>
  </si>
  <si>
    <t>FC Number</t>
  </si>
  <si>
    <t>AZ</t>
  </si>
  <si>
    <t>NY</t>
  </si>
  <si>
    <t>LGA1</t>
  </si>
  <si>
    <t>FL</t>
  </si>
  <si>
    <t>MN</t>
  </si>
  <si>
    <t>CO</t>
  </si>
  <si>
    <t>WA</t>
  </si>
  <si>
    <t>10/30/28 (FY29)</t>
  </si>
  <si>
    <t>5/7/29 (FY30)</t>
  </si>
  <si>
    <t xml:space="preserve">Governance </t>
  </si>
  <si>
    <t>Construction Substantial Completion</t>
  </si>
  <si>
    <t>BDR Sign-off</t>
  </si>
  <si>
    <t>6/22/2029 (FY30)</t>
  </si>
  <si>
    <t>12/3/2029 (FY30)</t>
  </si>
  <si>
    <t>5/12/30 (FY31)</t>
  </si>
  <si>
    <t>11/4/30 (FY31)</t>
  </si>
  <si>
    <t>11/19/29 (FY30)</t>
  </si>
  <si>
    <t>5/13/30 (FY31)</t>
  </si>
  <si>
    <t>11/11/30 (FY31)</t>
  </si>
  <si>
    <t xml:space="preserve">SCDB </t>
  </si>
  <si>
    <t>Turn-in WW</t>
  </si>
  <si>
    <t>WW Turn-in Date</t>
  </si>
  <si>
    <t>Turn-in Time</t>
  </si>
  <si>
    <t>Engineering Design and Install</t>
  </si>
  <si>
    <t>Rob Mechanism Update</t>
  </si>
  <si>
    <t>Adam Dunbar, Vik Gopalakrishnan, Jack Anderson, John Clinton</t>
  </si>
  <si>
    <t>SteerCo 4/23</t>
  </si>
  <si>
    <t>SteerCo 4/9</t>
  </si>
  <si>
    <t>Alesha Murcia, Ary Neuwirth, Zack Freeze</t>
  </si>
  <si>
    <t>This was cancelled since the meeting was moved post REC</t>
  </si>
  <si>
    <t>BRR Approval for MSP, DEN, &amp; SEA</t>
  </si>
  <si>
    <t>Buckeye: Transportation &amp; Solar Land Requirements</t>
  </si>
  <si>
    <t>SteerCo 4/17</t>
  </si>
  <si>
    <t>FY29</t>
  </si>
  <si>
    <t>FY30</t>
  </si>
  <si>
    <t>FY31</t>
  </si>
  <si>
    <t>Feb</t>
  </si>
  <si>
    <t>Mar</t>
  </si>
  <si>
    <t>Apr</t>
  </si>
  <si>
    <t>May</t>
  </si>
  <si>
    <t>Jun</t>
  </si>
  <si>
    <t>Jul</t>
  </si>
  <si>
    <t>Aug</t>
  </si>
  <si>
    <t>Sep</t>
  </si>
  <si>
    <t>Oct</t>
  </si>
  <si>
    <t>Nov</t>
  </si>
  <si>
    <t>Dec</t>
  </si>
  <si>
    <t>Jan</t>
  </si>
  <si>
    <t>Month</t>
  </si>
  <si>
    <t>Quarter</t>
  </si>
  <si>
    <t>FY29 3Q</t>
  </si>
  <si>
    <t>FY30 2Q</t>
  </si>
  <si>
    <t>FY30 Q2</t>
  </si>
  <si>
    <t>FY30 Q4</t>
  </si>
  <si>
    <t>FY31 Q2</t>
  </si>
  <si>
    <t>FY31 Q4</t>
  </si>
  <si>
    <t>FY31 Q1</t>
  </si>
  <si>
    <t>FY31 Q3</t>
  </si>
  <si>
    <t>Buckeye, AZ</t>
  </si>
  <si>
    <t>Wallkill, NY</t>
  </si>
  <si>
    <t>Minneapolis, MN</t>
  </si>
  <si>
    <t>Denver, CO</t>
  </si>
  <si>
    <t>Seattle, WA</t>
  </si>
  <si>
    <t xml:space="preserve">Location </t>
  </si>
  <si>
    <t>FY27 3Q</t>
  </si>
  <si>
    <t>NextGen Aisle Expansion</t>
  </si>
  <si>
    <t>McCordsville, IN</t>
  </si>
  <si>
    <t>FY28 3Q</t>
  </si>
  <si>
    <t>FY28 2Q</t>
  </si>
  <si>
    <t>Green Castle, PA</t>
  </si>
  <si>
    <t>Stockton, CA</t>
  </si>
  <si>
    <t>Lancaster, TX</t>
  </si>
  <si>
    <t>Sites</t>
  </si>
  <si>
    <t>FY32 Q1</t>
  </si>
  <si>
    <t>Scope</t>
  </si>
  <si>
    <t>In Flight</t>
  </si>
  <si>
    <t>May ASM</t>
  </si>
  <si>
    <t>Dec ASM</t>
  </si>
  <si>
    <t>Aug ASM</t>
  </si>
  <si>
    <t>Due Diligence In Design</t>
  </si>
  <si>
    <t>Orlando, FL</t>
  </si>
  <si>
    <t>NextGen Greenfield</t>
  </si>
  <si>
    <t>Pheonix, AZ</t>
  </si>
  <si>
    <t>Charlotte, NC</t>
  </si>
  <si>
    <t>4/20/2027 (FY28)</t>
  </si>
  <si>
    <t>5/20/2027 (FY28)</t>
  </si>
  <si>
    <t>Indianapolis, IN</t>
  </si>
  <si>
    <t>Shoemakersville, PA</t>
  </si>
  <si>
    <t>East Hartford, CT</t>
  </si>
  <si>
    <t>Lebanon, OH</t>
  </si>
  <si>
    <t>Chino, CA</t>
  </si>
  <si>
    <t>FY28 Q1</t>
  </si>
  <si>
    <t>FY28 Q2</t>
  </si>
  <si>
    <t>FY27 Q3</t>
  </si>
  <si>
    <t>FY29 Q1</t>
  </si>
  <si>
    <t>SteerCo</t>
  </si>
  <si>
    <t>NextGen + Non-sort Campus Approach (MCO, MSP, DEN, SEA)</t>
  </si>
  <si>
    <t>Requirements for Campus</t>
  </si>
  <si>
    <t>26_04_13 SteerCo NG &amp; NS Campus.pptx</t>
  </si>
  <si>
    <t>Additional Key Dates</t>
  </si>
  <si>
    <t>Incentives Secured</t>
  </si>
  <si>
    <t>Business Case Intake Open</t>
  </si>
  <si>
    <t>Business Case Intake Closed</t>
  </si>
  <si>
    <t>Business Case Complete</t>
  </si>
  <si>
    <t xml:space="preserve">CPC Dry Run </t>
  </si>
  <si>
    <t xml:space="preserve">ASM Dry Run </t>
  </si>
  <si>
    <t>Ary Neuwirth &amp; Logan Jones</t>
  </si>
  <si>
    <t>John Clinton, PK Sabherwal, Matt Termeer</t>
  </si>
  <si>
    <t>Rob Montgomery, Karisa Sprague, Adam Dunbar, Vik Gopalakrishnan, Jack Anderson, John Clinton, PK Sabherwal, Matt Termeer, Nicole Blyth, Ellen Sloneker, Karen Slatton</t>
  </si>
  <si>
    <t>CFO Turn-In</t>
  </si>
  <si>
    <t>Project #</t>
  </si>
  <si>
    <t>LX Number</t>
  </si>
  <si>
    <t>SAP Project #</t>
  </si>
  <si>
    <t>Building Type</t>
  </si>
  <si>
    <t>Brief Scope of Work</t>
  </si>
  <si>
    <t>Stage</t>
  </si>
  <si>
    <t>FC Name</t>
  </si>
  <si>
    <t>DC</t>
  </si>
  <si>
    <t>Location</t>
  </si>
  <si>
    <t>Name</t>
  </si>
  <si>
    <t xml:space="preserve">Budget </t>
  </si>
  <si>
    <t>Assigned</t>
  </si>
  <si>
    <t>% of Assigned</t>
  </si>
  <si>
    <t>90256.1000</t>
  </si>
  <si>
    <t>USDC-000297</t>
  </si>
  <si>
    <t>Next Gen</t>
  </si>
  <si>
    <t xml:space="preserve">New Build </t>
  </si>
  <si>
    <t>Pre-ASM</t>
  </si>
  <si>
    <t>DOU</t>
  </si>
  <si>
    <t>WMUS.SG.LOG.ASM</t>
  </si>
  <si>
    <t>90235.1000</t>
  </si>
  <si>
    <t>USDC-000298</t>
  </si>
  <si>
    <t>ATL5</t>
  </si>
  <si>
    <t>90367.1000</t>
  </si>
  <si>
    <t>USDC-000302</t>
  </si>
  <si>
    <t>LAS</t>
  </si>
  <si>
    <t>WMUS.SG.LOG.EASM</t>
  </si>
  <si>
    <t>90536.1000</t>
  </si>
  <si>
    <t>USDC-000308</t>
  </si>
  <si>
    <t>90537.1000</t>
  </si>
  <si>
    <t>USDC-000309</t>
  </si>
  <si>
    <t>PHX3</t>
  </si>
  <si>
    <t>8654.1000</t>
  </si>
  <si>
    <t>USDC-000311</t>
  </si>
  <si>
    <t>DEN</t>
  </si>
  <si>
    <t>90591.1000</t>
  </si>
  <si>
    <t>USDC-000312</t>
  </si>
  <si>
    <t>MCO</t>
  </si>
  <si>
    <t>90593.1000</t>
  </si>
  <si>
    <t>USDC-000313</t>
  </si>
  <si>
    <t>SEA</t>
  </si>
  <si>
    <t>90592.1000</t>
  </si>
  <si>
    <t>USDC-000314</t>
  </si>
  <si>
    <t>MSP</t>
  </si>
  <si>
    <t>90915.1000</t>
  </si>
  <si>
    <t>USDC-000317</t>
  </si>
  <si>
    <t>Actualized</t>
  </si>
  <si>
    <t>Open Commits</t>
  </si>
  <si>
    <t>Doulas, MA</t>
  </si>
  <si>
    <t xml:space="preserve"> Carnesville, GA</t>
  </si>
  <si>
    <t>Las Vegas, NV</t>
  </si>
  <si>
    <t xml:space="preserve">Minneapolis, MN </t>
  </si>
  <si>
    <t>Nov ASM Approved Budget Loaded</t>
  </si>
  <si>
    <t>On Hold</t>
  </si>
  <si>
    <t>Land bank not viable for NextGen</t>
  </si>
  <si>
    <t>4/16: $500K funded for campus site selection</t>
  </si>
  <si>
    <t>Approved</t>
  </si>
  <si>
    <t>Las Vegas Land Bank</t>
  </si>
  <si>
    <t>Douglas PSA</t>
  </si>
  <si>
    <t>Not Approved</t>
  </si>
  <si>
    <t>Carnesville CapEx Reduction - MHE Value Engineering</t>
  </si>
  <si>
    <t>Sortable SKU Definition &lt; 1.6 to 1.2</t>
  </si>
  <si>
    <t>Carnesville Business Case</t>
  </si>
  <si>
    <t>Hrishi Badve</t>
  </si>
  <si>
    <t>EV Yard Trucks</t>
  </si>
  <si>
    <t>Brook Weeks</t>
  </si>
  <si>
    <t>Allison Coontz</t>
  </si>
  <si>
    <t>Move Forward</t>
  </si>
  <si>
    <t>Impact to Increase in IP Increase</t>
  </si>
  <si>
    <t>IP Increase Impact to Business Case</t>
  </si>
  <si>
    <t>Wallkill Pollical Headwinds</t>
  </si>
  <si>
    <t>Zach Freeze</t>
  </si>
  <si>
    <t>Buckeye BDR Sign-off</t>
  </si>
  <si>
    <t>Carnesville Business Case Inputs</t>
  </si>
  <si>
    <t>Wallkill Timeline push from Nov FY30 to May FY31</t>
  </si>
  <si>
    <t>Wallkill BDR Sign-off</t>
  </si>
  <si>
    <t>Decision &amp; Outcome</t>
  </si>
  <si>
    <t>BDR Approved for MCO</t>
  </si>
  <si>
    <t>Follow-up</t>
  </si>
  <si>
    <t>Move forward to CPC</t>
  </si>
  <si>
    <t>Pivot from Las Vegas to Phoenix</t>
  </si>
  <si>
    <t>Wallkill Go Live date push from Nov to May</t>
  </si>
  <si>
    <t>No</t>
  </si>
  <si>
    <t>Decision</t>
  </si>
  <si>
    <t>30-60% DD Request REC request for Wallkill and Buckeye</t>
  </si>
  <si>
    <t>$1M DD for MCO, SEA, DEN, MSP</t>
  </si>
  <si>
    <t>Not Improved</t>
  </si>
  <si>
    <t>Aligned</t>
  </si>
  <si>
    <t>Jack Anderson</t>
  </si>
  <si>
    <t>FY26</t>
  </si>
  <si>
    <t>Carnesville May ASM Content Alignment</t>
  </si>
  <si>
    <t>Wallkill status update with pollical risk</t>
  </si>
  <si>
    <t>Stop due diligence for Douglas</t>
  </si>
  <si>
    <t>Rob's wants a review of the Depot and NextGen Ecosystem</t>
  </si>
  <si>
    <t>Pause active work for 1.2 Units Cube</t>
  </si>
  <si>
    <t>26_02_20 Carnesville CapEx Reduction Slides-SteerCo.pdf</t>
  </si>
  <si>
    <t>26_03_19 SteerCo BDR Buckeye &amp; Wallkill_ Wallkill Timeline.pptx</t>
  </si>
  <si>
    <t>Buckeye BDR Approved</t>
  </si>
  <si>
    <t>Wallkill BRR Approved</t>
  </si>
  <si>
    <t>KNAPP start of Install (Start)</t>
  </si>
  <si>
    <t xml:space="preserve">Phase 1 Commissioning - (Start) </t>
  </si>
  <si>
    <t xml:space="preserve">FAT, End to End Testing, Financial Validation (Start) </t>
  </si>
  <si>
    <t>30 % Design - ENG</t>
  </si>
  <si>
    <t>60% Design -ENG</t>
  </si>
  <si>
    <t>90% Design - ENG</t>
  </si>
  <si>
    <t>KNAPP Signed SOW</t>
  </si>
  <si>
    <t>26_03_05 SteerCo IP Moved to 80%_Wallkill Political Update &amp; Business Case.pptx</t>
  </si>
  <si>
    <t>Increasing Energy CapEx by $5.1M</t>
  </si>
  <si>
    <t>Approved Increase CapEx for Energy</t>
  </si>
  <si>
    <t>26_03_12 SteerCo.pptx</t>
  </si>
  <si>
    <t>26_04_02 SteerCo Cost to Server Carnesville Maintenance Strategy.pptx</t>
  </si>
  <si>
    <t>Proceed with Option 1</t>
  </si>
  <si>
    <t>Go-Live FY</t>
  </si>
  <si>
    <t>Due  Diligence:  Site Selection</t>
  </si>
  <si>
    <t>MCO?</t>
  </si>
  <si>
    <t>MSP?</t>
  </si>
  <si>
    <t xml:space="preserve">DEN? </t>
  </si>
  <si>
    <t xml:space="preserve">SEA? </t>
  </si>
  <si>
    <t xml:space="preserve">FY Capacity Added </t>
  </si>
  <si>
    <t>Site Selection Trip</t>
  </si>
  <si>
    <t>Follow up Buckeye: Transportation &amp; Solar Land Requirements</t>
  </si>
  <si>
    <t>Burn Testing for NextGen</t>
  </si>
  <si>
    <t xml:space="preserve">Due  Diligence:  90% Design </t>
  </si>
  <si>
    <t>Talking Points &amp; FAQ Updated</t>
  </si>
  <si>
    <t>FOX</t>
  </si>
  <si>
    <t>Pending Scheduling</t>
  </si>
  <si>
    <t>Jack Anderson, Karisa Sprague, Adam Dunbar</t>
  </si>
  <si>
    <t>Jack Anderson, Adam Dunbar</t>
  </si>
  <si>
    <t>Rob Montgomery</t>
  </si>
  <si>
    <t>Leah Platz, Kyle Carlyle, Mike Walden</t>
  </si>
  <si>
    <t>Julie Barber</t>
  </si>
  <si>
    <t>Tracy Poulliot , Camilo Canedo, Dan Fleming</t>
  </si>
  <si>
    <t>Latriece Watkins &amp; Tom Ward</t>
  </si>
  <si>
    <t>Tim Skinner</t>
  </si>
  <si>
    <t>Todd Sears</t>
  </si>
  <si>
    <t>Jack Anderson, Karisa Sprague, Adam Dunbar, Leah Platz</t>
  </si>
  <si>
    <t>Jack Anderson, Karisa Sprague, Adam Dunbar, Mike Walden</t>
  </si>
  <si>
    <t>Jack Anderson, Karisa Sprague, Adam Dunbar, Kyle Carlyle</t>
  </si>
  <si>
    <t>Rob Montgomery, Jack Anderson, Karisa Spraque, Adam Dunbar, Matt C</t>
  </si>
  <si>
    <t>Rob Montgomery, John Clinton, PK Sabherwal, Matt Termeer</t>
  </si>
  <si>
    <t>Approve to implement VE for all NextGen's</t>
  </si>
  <si>
    <t>26_02_26 SteerCo Carnesville BC_IP Increase Yard Trucks.pptx</t>
  </si>
  <si>
    <t>Carnesville Pre-socialization w/ Latriece Watkins &amp; Tom Ward</t>
  </si>
  <si>
    <t>Carnesville Pre-socialization + MSM / Todd Sears</t>
  </si>
  <si>
    <t>Carnesville Pre-socialization / Tim Skinner</t>
  </si>
  <si>
    <t>Carnesville Pre-socialization + MSM / Dave Guggina</t>
  </si>
  <si>
    <t>Carnesville Pre-socialization + MSM / Julie Barber</t>
  </si>
  <si>
    <t>Rob Montgomery and Ryan McDaniels</t>
  </si>
  <si>
    <t>Wallkill Business Case Inputs - Action to Improve IRR</t>
  </si>
  <si>
    <t>26_04_27 Wallkill IRR Deep Dive.pptx</t>
  </si>
  <si>
    <t>26_03_12 SteerCo Energy CapEx Increase.pptx</t>
  </si>
  <si>
    <t>Not approved - Scheduling follow up</t>
  </si>
  <si>
    <t>26_04_24 Buckeye Land Purchase Alignment.pptx</t>
  </si>
  <si>
    <t>Start of Design</t>
  </si>
  <si>
    <t>Can we add TO/TMG to Wallkill</t>
  </si>
  <si>
    <t>Van Delivery Requirements / Flow</t>
  </si>
  <si>
    <t>Logan Jones</t>
  </si>
  <si>
    <t>CPC DD Approval for Wallkill &amp; Buckeye</t>
  </si>
  <si>
    <t>Decision Owners &amp; Approvers</t>
  </si>
  <si>
    <t>Fulfillment Ecosystem, Cost, &amp; Value Engineering w/ Rob Montgomery</t>
  </si>
  <si>
    <t>Pursue all 63 areas for Buckeye</t>
  </si>
  <si>
    <t>Preliminary IRR for PHX, MCO, MSP, DEN, SEA</t>
  </si>
  <si>
    <t>Dave Guggina</t>
  </si>
  <si>
    <t>Ellen Sloneker, Phil Herr</t>
  </si>
  <si>
    <t>BDR for MSP, DEN, SEA Sign-off (Confirm path to 150M capacity ramp by FY)</t>
  </si>
  <si>
    <t>Adam Dunbar, Barat Smith, Zach Freeze, Karen Slatton</t>
  </si>
  <si>
    <t>26_04_30 SteerCo.pptx</t>
  </si>
  <si>
    <t>26_05_04 SteerCo.pptx</t>
  </si>
  <si>
    <t>MSM</t>
  </si>
  <si>
    <t>MSM Turn-In</t>
  </si>
  <si>
    <t xml:space="preserve">MSM   </t>
  </si>
  <si>
    <t>Carnesville MSM Dry Run</t>
  </si>
  <si>
    <t>Advaith Venkataraman</t>
  </si>
  <si>
    <t>Andrew Skinkle</t>
  </si>
  <si>
    <t>Approved: Option 1 Carport + Zone 3</t>
  </si>
  <si>
    <t>Van/Sedan Delivery Flow Follow-up</t>
  </si>
  <si>
    <t>Adam Dunbar, Jack Anderson</t>
  </si>
  <si>
    <t>Not approved to move forward with Spec Building</t>
  </si>
  <si>
    <t>26_01_29 Northeast Spec Bld Analysis.pptx</t>
  </si>
  <si>
    <t>Adam Dunbar, Vik Gopalakrishnan, Jack Anderson, Jacob Shub</t>
  </si>
  <si>
    <t>Spec Building Analysis for Northeast</t>
  </si>
  <si>
    <t>26_05_08 SteerCo.pptx</t>
  </si>
  <si>
    <t>Focus on Building Options (1) ORD Style, (2) BDL (3) Reduced footprint maintain 2M SKU</t>
  </si>
  <si>
    <t>Wallkill IRR &amp; CapEx (Building Scenario's)</t>
  </si>
  <si>
    <t>26_05_14 SteerCo.pptx</t>
  </si>
  <si>
    <t xml:space="preserve">Moratorium Termination </t>
  </si>
  <si>
    <t xml:space="preserve">Town Board Review Height Variance </t>
  </si>
  <si>
    <t>Zoning Board Review Heigh Variance</t>
  </si>
  <si>
    <t>Nicole Blyth</t>
  </si>
  <si>
    <t>Approved to move to ASM</t>
  </si>
  <si>
    <t>PK Sabherwal &amp; Matt Termeer</t>
  </si>
  <si>
    <t>26_04_30 NextGen Burn Testing OpEx Required.pptx</t>
  </si>
  <si>
    <t>Burn Testing for NextGen (Decision Needed by June 1st)</t>
  </si>
  <si>
    <t>PSA Signing</t>
  </si>
  <si>
    <t>Carnesville ASM Dry Run</t>
  </si>
  <si>
    <t>Review</t>
  </si>
  <si>
    <t>Feedback for Talking Points and FAQ prior to ASM</t>
  </si>
  <si>
    <t>Mechanisms</t>
  </si>
  <si>
    <t>Increase IP from 60% to 80%</t>
  </si>
  <si>
    <t>NextGen vs Depot Strategy</t>
  </si>
  <si>
    <t>Buckeye Site Selection</t>
  </si>
  <si>
    <t>IP Limit</t>
  </si>
  <si>
    <t>Fulfillment Ecosystem</t>
  </si>
  <si>
    <t>Adding Project Antelope to Carnesville Business Case</t>
  </si>
  <si>
    <t>Cost to Serve Alignment</t>
  </si>
  <si>
    <t>REC Dry Run</t>
  </si>
  <si>
    <t>Socialization Strategy</t>
  </si>
  <si>
    <t>Carnesville Pre-socialization + MSM w/ Seth Dallaire &amp; Manish Joneja</t>
  </si>
  <si>
    <t>Buckeye Transportation Land Requirements w/ Rob Montgomery</t>
  </si>
  <si>
    <t>Carnesville Pre-socialization + MSM w/ Tracy Poulliot , Camilo Canedo, Dan Fleming</t>
  </si>
  <si>
    <t>Solar location for Buckeye</t>
  </si>
  <si>
    <t>Wallkill Next Steps</t>
  </si>
  <si>
    <t>Wallkill IRR &amp; CapEx</t>
  </si>
  <si>
    <t>Reassess 450-mile centroid radius with impact to same day for MCO, MSP, DEN, SEA</t>
  </si>
  <si>
    <t>Review Market Model Coverage with peak and off-peak (Stores, Depots, NextGen Conventional FC)</t>
  </si>
  <si>
    <t>Site Selection Date Scheduling - MCO, MSP, SEA, DEN</t>
  </si>
  <si>
    <t>Turn-in Date</t>
  </si>
  <si>
    <t>Presenter</t>
  </si>
  <si>
    <t>Karen Slatton</t>
  </si>
  <si>
    <t>Advaith Venkataraman / Andrew</t>
  </si>
  <si>
    <t>Prepare</t>
  </si>
  <si>
    <t>Aligned to Pivot to Phoenix</t>
  </si>
  <si>
    <t>Additional follow-up Required</t>
  </si>
  <si>
    <t>Carnesville Pre-socialization</t>
  </si>
  <si>
    <t>Approved to adding Project Antelope to all NextGen Business Cases</t>
  </si>
  <si>
    <t>Need Rob's feedback. Follow up required</t>
  </si>
  <si>
    <t>Approved. Matt Termeer finding funding</t>
  </si>
  <si>
    <t>Need follow up</t>
  </si>
  <si>
    <t>Carnesville May ASM</t>
  </si>
  <si>
    <t>Seth Dallaire &amp; Manish Joneja</t>
  </si>
  <si>
    <t>Karisa Sprague, Adam Dunbar, John Clinton</t>
  </si>
  <si>
    <t>Jon Furner</t>
  </si>
  <si>
    <t>Warning / Callout</t>
  </si>
  <si>
    <t>Placeholder until real date/information is updated</t>
  </si>
  <si>
    <t>Project Start</t>
  </si>
  <si>
    <t>Joliet, IL</t>
  </si>
  <si>
    <t>Non-Sort New Site</t>
  </si>
  <si>
    <t>August ASM</t>
  </si>
  <si>
    <t>LAX2 ICC Expansion</t>
  </si>
  <si>
    <t>IND1 ICC + Two-Tier</t>
  </si>
  <si>
    <t>26_05_20 SteerCo Wallkill Scenarios.pptx</t>
  </si>
  <si>
    <t>Carnesville Incentives Funding: ~$1M OpEx needed for closing to secure ~$70M in incentives.</t>
  </si>
  <si>
    <t>Greg Nunn</t>
  </si>
  <si>
    <t>Need feedback on where funding should come from</t>
  </si>
  <si>
    <t>ASM for Land Purchase</t>
  </si>
  <si>
    <t>Test Fits Complete</t>
  </si>
  <si>
    <t>Real Estate Milestones</t>
  </si>
  <si>
    <t>Land Purchase (Cash Flow)</t>
  </si>
  <si>
    <t xml:space="preserve">Approved and will use Karisa OpEx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</si>
</sst>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m/d/yy;@"/>
    <numFmt numFmtId="165" formatCode="mm/dd/yy;@"/>
    <numFmt numFmtId="166" formatCode="[$-409]h:mm\ AM/PM;@"/>
    <numFmt numFmtId="167" formatCode="_(&quot;$&quot;* #,##0_);_(&quot;$&quot;* \(#,##0\);_(&quot;$&quot;* &quot;-&quot;??_);_(@_)"/>
  </numFmts>
  <fonts count="19" x14ac:knownFonts="1">
    <font>
      <sz val="11"/>
      <color theme="1"/>
      <name val="Aptos Narrow"/>
      <family val="2"/>
      <scheme val="minor"/>
    </font>
    <font>
      <sz val="11"/>
      <color theme="0" tint="-0.34998626667073579"/>
      <name val="Everyday Sans"/>
      <family val="3"/>
    </font>
    <font>
      <sz val="11"/>
      <color theme="1"/>
      <name val="Everyday Sans"/>
      <family val="3"/>
    </font>
    <font>
      <b/>
      <sz val="11"/>
      <name val="Everyday Sans"/>
      <family val="3"/>
    </font>
    <font>
      <b/>
      <sz val="16"/>
      <color theme="1"/>
      <name val="Aptos Narrow"/>
      <family val="2"/>
      <scheme val="minor"/>
    </font>
    <font>
      <b/>
      <sz val="11"/>
      <color theme="1"/>
      <name val="Everyday Sans"/>
      <family val="3"/>
    </font>
    <font>
      <strike/>
      <sz val="11"/>
      <color theme="1"/>
      <name val="Everyday Sans"/>
      <family val="3"/>
    </font>
    <font>
      <sz val="11"/>
      <color rgb="FFFF0000"/>
      <name val="Everyday Sans"/>
      <family val="3"/>
    </font>
    <font>
      <sz val="11"/>
      <color rgb="FF000000"/>
      <name val="Everyday Sans"/>
      <family val="3"/>
    </font>
    <font>
      <b/>
      <sz val="11"/>
      <name val="Everyday Sans"/>
    </font>
    <font>
      <u/>
      <sz val="11"/>
      <color theme="10"/>
      <name val="Aptos Narrow"/>
      <family val="2"/>
      <scheme val="minor"/>
    </font>
    <font>
      <sz val="8"/>
      <name val="Aptos Narrow"/>
      <family val="2"/>
      <scheme val="minor"/>
    </font>
    <font>
      <b/>
      <sz val="11"/>
      <color theme="1"/>
      <name val="Aptos Narrow"/>
      <family val="2"/>
      <scheme val="minor"/>
    </font>
    <font>
      <sz val="12"/>
      <color theme="1"/>
      <name val="Aptos"/>
      <family val="2"/>
    </font>
    <font>
      <b/>
      <sz val="12"/>
      <color theme="1"/>
      <name val="Aptos"/>
      <family val="2"/>
    </font>
    <font>
      <sz val="11"/>
      <color theme="1"/>
      <name val="Aptos Narrow"/>
      <family val="2"/>
      <scheme val="minor"/>
    </font>
    <font>
      <b/>
      <sz val="12"/>
      <color theme="0"/>
      <name val="Calibri"/>
      <family val="2"/>
    </font>
    <font>
      <strike/>
      <sz val="11"/>
      <color theme="1"/>
      <name val="Aptos Narrow"/>
      <family val="2"/>
      <scheme val="minor"/>
    </font>
    <font>
      <b/>
      <sz val="11"/>
      <color theme="0"/>
      <name val="Aptos Narrow"/>
      <family val="2"/>
      <scheme val="minor"/>
    </font>
  </fonts>
  <fills count="8">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0" tint="-0.34998626667073579"/>
        <bgColor indexed="64"/>
      </patternFill>
    </fill>
    <fill>
      <patternFill patternType="solid">
        <fgColor rgb="FF067ACC"/>
        <bgColor indexed="64"/>
      </patternFill>
    </fill>
    <fill>
      <patternFill patternType="solid">
        <fgColor rgb="FFC00000"/>
        <bgColor indexed="64"/>
      </patternFill>
    </fill>
    <fill>
      <patternFill patternType="solid">
        <fgColor rgb="FF00B050"/>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0" fontId="10" fillId="0" borderId="0" applyNumberFormat="0" applyFill="0" applyBorder="0" applyAlignment="0" applyProtection="0"/>
    <xf numFmtId="44" fontId="15" fillId="0" borderId="0" applyFont="0" applyFill="0" applyBorder="0" applyAlignment="0" applyProtection="0"/>
    <xf numFmtId="9" fontId="15" fillId="0" borderId="0" applyFont="0" applyFill="0" applyBorder="0" applyAlignment="0" applyProtection="0"/>
  </cellStyleXfs>
  <cellXfs count="148">
    <xf numFmtId="0" fontId="0" fillId="0" borderId="0" xfId="0"/>
    <xf numFmtId="0" fontId="0" fillId="0" borderId="0" xfId="0" applyAlignment="1">
      <alignment horizontal="center"/>
    </xf>
    <xf numFmtId="14" fontId="1" fillId="0" borderId="1" xfId="0" applyNumberFormat="1" applyFont="1" applyBorder="1" applyAlignment="1">
      <alignment horizontal="center"/>
    </xf>
    <xf numFmtId="0" fontId="1" fillId="0" borderId="1" xfId="0" applyFont="1" applyBorder="1" applyAlignment="1">
      <alignment wrapText="1"/>
    </xf>
    <xf numFmtId="0" fontId="1" fillId="0" borderId="1" xfId="0" applyFont="1" applyBorder="1" applyAlignment="1">
      <alignment horizontal="center"/>
    </xf>
    <xf numFmtId="0" fontId="1" fillId="0" borderId="1" xfId="0" applyFont="1" applyBorder="1"/>
    <xf numFmtId="0" fontId="1" fillId="0" borderId="6" xfId="0" applyFont="1" applyBorder="1"/>
    <xf numFmtId="0" fontId="0" fillId="0" borderId="0" xfId="0" applyAlignment="1">
      <alignment wrapText="1"/>
    </xf>
    <xf numFmtId="0" fontId="1" fillId="0" borderId="4" xfId="0" applyFont="1" applyBorder="1" applyAlignment="1">
      <alignment wrapText="1"/>
    </xf>
    <xf numFmtId="14" fontId="1" fillId="0" borderId="7" xfId="0" applyNumberFormat="1" applyFont="1" applyBorder="1" applyAlignment="1">
      <alignment horizontal="center" vertical="center"/>
    </xf>
    <xf numFmtId="0" fontId="1" fillId="0" borderId="7" xfId="0" applyFont="1" applyBorder="1" applyAlignment="1">
      <alignment horizontal="center" vertical="center"/>
    </xf>
    <xf numFmtId="0" fontId="1" fillId="0" borderId="7" xfId="0" applyFont="1" applyBorder="1" applyAlignment="1">
      <alignment vertical="center" wrapText="1"/>
    </xf>
    <xf numFmtId="0" fontId="1" fillId="0" borderId="7" xfId="0" applyFont="1" applyBorder="1" applyAlignment="1">
      <alignment vertical="center"/>
    </xf>
    <xf numFmtId="14" fontId="1" fillId="0" borderId="7" xfId="0" applyNumberFormat="1" applyFont="1" applyBorder="1" applyAlignment="1">
      <alignment horizontal="center"/>
    </xf>
    <xf numFmtId="0" fontId="1" fillId="0" borderId="7" xfId="0" applyFont="1" applyBorder="1" applyAlignment="1">
      <alignment wrapText="1"/>
    </xf>
    <xf numFmtId="0" fontId="1" fillId="0" borderId="7" xfId="0" applyFont="1" applyBorder="1" applyAlignment="1">
      <alignment horizontal="center"/>
    </xf>
    <xf numFmtId="0" fontId="2" fillId="0" borderId="1" xfId="0" applyFont="1" applyBorder="1" applyAlignment="1">
      <alignment horizontal="center" vertical="center"/>
    </xf>
    <xf numFmtId="0" fontId="1" fillId="0" borderId="7" xfId="0" applyFont="1" applyBorder="1"/>
    <xf numFmtId="14" fontId="1" fillId="0" borderId="8" xfId="0" applyNumberFormat="1" applyFont="1" applyBorder="1" applyAlignment="1">
      <alignment horizontal="center"/>
    </xf>
    <xf numFmtId="0" fontId="1" fillId="0" borderId="8" xfId="0" applyFont="1" applyBorder="1" applyAlignment="1">
      <alignment wrapText="1"/>
    </xf>
    <xf numFmtId="0" fontId="1" fillId="0" borderId="8" xfId="0" applyFont="1" applyBorder="1" applyAlignment="1">
      <alignment horizontal="center"/>
    </xf>
    <xf numFmtId="0" fontId="1" fillId="0" borderId="8" xfId="0" applyFont="1" applyBorder="1"/>
    <xf numFmtId="0" fontId="1" fillId="0" borderId="9" xfId="0" applyFont="1" applyBorder="1"/>
    <xf numFmtId="0" fontId="1" fillId="0" borderId="10" xfId="0" applyFont="1" applyBorder="1" applyAlignment="1">
      <alignment wrapText="1"/>
    </xf>
    <xf numFmtId="14" fontId="2" fillId="0" borderId="1" xfId="0" applyNumberFormat="1" applyFont="1" applyBorder="1" applyAlignment="1">
      <alignment horizontal="center" vertical="center"/>
    </xf>
    <xf numFmtId="14" fontId="2" fillId="0" borderId="7" xfId="0" applyNumberFormat="1"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7" xfId="0" applyFont="1" applyBorder="1" applyAlignment="1">
      <alignment horizontal="left" vertical="center"/>
    </xf>
    <xf numFmtId="14" fontId="1" fillId="0" borderId="12" xfId="0" applyNumberFormat="1" applyFont="1" applyBorder="1" applyAlignment="1">
      <alignment horizontal="center" vertical="center"/>
    </xf>
    <xf numFmtId="0" fontId="1" fillId="0" borderId="12" xfId="0" applyFont="1" applyBorder="1" applyAlignment="1">
      <alignment horizontal="center" vertical="center"/>
    </xf>
    <xf numFmtId="0" fontId="1" fillId="0" borderId="12" xfId="0" applyFont="1" applyBorder="1" applyAlignment="1">
      <alignment vertical="center" wrapText="1"/>
    </xf>
    <xf numFmtId="0" fontId="1" fillId="0" borderId="12" xfId="0" applyFont="1" applyBorder="1" applyAlignment="1">
      <alignment vertical="center"/>
    </xf>
    <xf numFmtId="14" fontId="2" fillId="0" borderId="13" xfId="0" applyNumberFormat="1" applyFont="1" applyBorder="1" applyAlignment="1">
      <alignment horizontal="center" vertical="center"/>
    </xf>
    <xf numFmtId="0" fontId="2" fillId="0" borderId="13" xfId="0" applyFont="1" applyBorder="1" applyAlignment="1">
      <alignment horizontal="center" vertical="center"/>
    </xf>
    <xf numFmtId="0" fontId="2" fillId="0" borderId="11" xfId="0" applyFont="1" applyBorder="1" applyAlignment="1">
      <alignment horizontal="center" vertical="center"/>
    </xf>
    <xf numFmtId="0" fontId="2" fillId="0" borderId="11" xfId="0" applyFont="1" applyBorder="1" applyAlignment="1">
      <alignment vertical="center"/>
    </xf>
    <xf numFmtId="0" fontId="2" fillId="0" borderId="14" xfId="0" applyFont="1" applyBorder="1" applyAlignment="1">
      <alignment horizontal="center" vertical="center" wrapText="1"/>
    </xf>
    <xf numFmtId="0" fontId="2" fillId="0" borderId="15" xfId="0" applyFont="1" applyBorder="1" applyAlignment="1">
      <alignment vertical="center" wrapText="1"/>
    </xf>
    <xf numFmtId="0" fontId="2" fillId="0" borderId="7" xfId="0" applyFont="1" applyBorder="1" applyAlignment="1">
      <alignment horizontal="center" vertical="center" wrapText="1"/>
    </xf>
    <xf numFmtId="0" fontId="2" fillId="0" borderId="7" xfId="0" applyFont="1" applyBorder="1" applyAlignment="1">
      <alignment horizontal="left" vertical="center" wrapText="1"/>
    </xf>
    <xf numFmtId="14" fontId="2" fillId="0" borderId="7" xfId="0" applyNumberFormat="1" applyFont="1" applyBorder="1" applyAlignment="1">
      <alignment horizontal="center" vertical="center" wrapText="1"/>
    </xf>
    <xf numFmtId="0" fontId="0" fillId="0" borderId="0" xfId="0" applyAlignment="1">
      <alignment vertical="center" wrapText="1"/>
    </xf>
    <xf numFmtId="0" fontId="3" fillId="2" borderId="2" xfId="0" applyFont="1" applyFill="1" applyBorder="1" applyAlignment="1">
      <alignment horizontal="center" vertical="center"/>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0" fillId="0" borderId="0" xfId="0" applyAlignment="1">
      <alignment horizontal="left" vertical="center"/>
    </xf>
    <xf numFmtId="0" fontId="2" fillId="3" borderId="7" xfId="0" applyFont="1" applyFill="1" applyBorder="1" applyAlignment="1">
      <alignment vertical="center" wrapText="1"/>
    </xf>
    <xf numFmtId="0" fontId="2" fillId="3" borderId="7" xfId="0" applyFont="1" applyFill="1" applyBorder="1" applyAlignment="1">
      <alignment horizontal="center" vertical="center"/>
    </xf>
    <xf numFmtId="0" fontId="2" fillId="3" borderId="7" xfId="0" applyFont="1" applyFill="1" applyBorder="1" applyAlignment="1">
      <alignment horizontal="left" vertical="center" wrapText="1"/>
    </xf>
    <xf numFmtId="0" fontId="2" fillId="0" borderId="0" xfId="0" applyFont="1" applyAlignment="1">
      <alignment horizontal="left" vertical="center"/>
    </xf>
    <xf numFmtId="0" fontId="3" fillId="2" borderId="5" xfId="0" applyFont="1" applyFill="1" applyBorder="1" applyAlignment="1">
      <alignment horizontal="center" vertical="center"/>
    </xf>
    <xf numFmtId="14" fontId="8" fillId="0" borderId="7" xfId="0" applyNumberFormat="1" applyFont="1" applyBorder="1" applyAlignment="1">
      <alignment horizontal="center" vertical="center"/>
    </xf>
    <xf numFmtId="0" fontId="2" fillId="0" borderId="1" xfId="0" applyFont="1" applyBorder="1" applyAlignment="1">
      <alignment horizontal="center" vertical="center" wrapText="1"/>
    </xf>
    <xf numFmtId="14" fontId="2" fillId="0" borderId="8" xfId="0" applyNumberFormat="1" applyFont="1" applyBorder="1" applyAlignment="1">
      <alignment horizontal="center" vertical="center"/>
    </xf>
    <xf numFmtId="0" fontId="2" fillId="0" borderId="8" xfId="0" applyFont="1" applyBorder="1" applyAlignment="1">
      <alignment horizontal="center" vertical="center"/>
    </xf>
    <xf numFmtId="0" fontId="2" fillId="0" borderId="8" xfId="0" applyFont="1" applyBorder="1" applyAlignment="1">
      <alignment horizontal="center" vertical="center" wrapText="1"/>
    </xf>
    <xf numFmtId="0" fontId="5" fillId="0" borderId="7" xfId="0" applyFont="1" applyBorder="1" applyAlignment="1">
      <alignment vertical="center" wrapText="1"/>
    </xf>
    <xf numFmtId="0" fontId="3" fillId="2" borderId="2" xfId="0" applyFont="1" applyFill="1" applyBorder="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14" fontId="2" fillId="0" borderId="12"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2" xfId="0" applyFont="1" applyBorder="1" applyAlignment="1">
      <alignment vertical="center" wrapText="1"/>
    </xf>
    <xf numFmtId="0" fontId="2" fillId="0" borderId="12" xfId="0" applyFont="1" applyBorder="1" applyAlignment="1">
      <alignment horizontal="center" vertical="center" wrapText="1"/>
    </xf>
    <xf numFmtId="0" fontId="2" fillId="0" borderId="12" xfId="0" applyFont="1" applyBorder="1" applyAlignment="1">
      <alignment horizontal="left" vertical="center" wrapText="1"/>
    </xf>
    <xf numFmtId="0" fontId="2" fillId="0" borderId="8" xfId="0" applyFont="1" applyBorder="1" applyAlignment="1">
      <alignment vertical="center" wrapText="1"/>
    </xf>
    <xf numFmtId="0" fontId="2" fillId="0" borderId="8" xfId="0" applyFont="1" applyBorder="1" applyAlignment="1">
      <alignment horizontal="left" vertical="center"/>
    </xf>
    <xf numFmtId="14" fontId="2" fillId="0" borderId="16" xfId="0" applyNumberFormat="1" applyFont="1" applyBorder="1" applyAlignment="1">
      <alignment horizontal="center" vertical="center"/>
    </xf>
    <xf numFmtId="0" fontId="2" fillId="0" borderId="16" xfId="0" applyFont="1" applyBorder="1" applyAlignment="1">
      <alignment horizontal="center" vertical="center"/>
    </xf>
    <xf numFmtId="0" fontId="2" fillId="0" borderId="16" xfId="0" applyFont="1" applyBorder="1" applyAlignment="1">
      <alignment vertical="center" wrapText="1"/>
    </xf>
    <xf numFmtId="0" fontId="2" fillId="0" borderId="16" xfId="0" applyFont="1" applyBorder="1" applyAlignment="1">
      <alignment horizontal="center" vertical="center" wrapText="1"/>
    </xf>
    <xf numFmtId="0" fontId="2" fillId="0" borderId="16" xfId="0" applyFont="1" applyBorder="1" applyAlignment="1">
      <alignment horizontal="left" vertical="center"/>
    </xf>
    <xf numFmtId="0" fontId="2" fillId="0" borderId="6" xfId="0" applyFont="1" applyBorder="1" applyAlignment="1">
      <alignment horizontal="left" vertical="center" wrapText="1"/>
    </xf>
    <xf numFmtId="0" fontId="8" fillId="0" borderId="8" xfId="0" applyFont="1" applyBorder="1" applyAlignment="1">
      <alignment horizontal="center" vertical="center" wrapText="1"/>
    </xf>
    <xf numFmtId="0" fontId="2" fillId="0" borderId="9" xfId="0" applyFont="1" applyBorder="1" applyAlignment="1">
      <alignment horizontal="left" vertical="center" wrapText="1"/>
    </xf>
    <xf numFmtId="0" fontId="2" fillId="0" borderId="6" xfId="0" applyFont="1" applyBorder="1" applyAlignment="1">
      <alignment horizontal="left" vertical="center"/>
    </xf>
    <xf numFmtId="14" fontId="2" fillId="0" borderId="0" xfId="0" applyNumberFormat="1" applyFont="1" applyAlignment="1">
      <alignment horizontal="center" vertical="center"/>
    </xf>
    <xf numFmtId="0" fontId="4" fillId="0" borderId="0" xfId="0" applyFont="1" applyAlignment="1">
      <alignment horizontal="left" vertical="center"/>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0" fillId="0" borderId="0" xfId="0" applyAlignment="1">
      <alignment horizontal="left"/>
    </xf>
    <xf numFmtId="0" fontId="0" fillId="0" borderId="0" xfId="0" applyAlignment="1">
      <alignment horizontal="left" wrapText="1"/>
    </xf>
    <xf numFmtId="164" fontId="0" fillId="0" borderId="0" xfId="0" applyNumberFormat="1" applyAlignment="1">
      <alignment horizontal="center" vertical="center"/>
    </xf>
    <xf numFmtId="0" fontId="0" fillId="0" borderId="0" xfId="0" applyAlignment="1">
      <alignment horizontal="left" vertical="center" wrapText="1"/>
    </xf>
    <xf numFmtId="0" fontId="10" fillId="0" borderId="0" xfId="1" applyAlignment="1">
      <alignment vertical="center"/>
    </xf>
    <xf numFmtId="0" fontId="13" fillId="0" borderId="0" xfId="0" applyFont="1" applyAlignment="1">
      <alignment horizontal="left" vertical="center"/>
    </xf>
    <xf numFmtId="0" fontId="14" fillId="0" borderId="0" xfId="0" applyFont="1" applyAlignment="1">
      <alignment horizontal="left" vertical="center"/>
    </xf>
    <xf numFmtId="165" fontId="0" fillId="0" borderId="0" xfId="0" applyNumberFormat="1"/>
    <xf numFmtId="0" fontId="12" fillId="0" borderId="0" xfId="0" applyFont="1"/>
    <xf numFmtId="165" fontId="0" fillId="0" borderId="0" xfId="0" applyNumberFormat="1" applyAlignment="1">
      <alignment horizontal="center" vertical="center"/>
    </xf>
    <xf numFmtId="164" fontId="0" fillId="0" borderId="0" xfId="0" applyNumberFormat="1" applyAlignment="1">
      <alignment horizontal="center" vertical="center" wrapText="1"/>
    </xf>
    <xf numFmtId="0" fontId="3" fillId="4" borderId="2" xfId="0" applyFont="1" applyFill="1" applyBorder="1" applyAlignment="1">
      <alignment horizontal="center" vertical="center" wrapText="1"/>
    </xf>
    <xf numFmtId="164" fontId="3" fillId="2" borderId="2" xfId="0" applyNumberFormat="1" applyFont="1" applyFill="1" applyBorder="1" applyAlignment="1">
      <alignment horizontal="center" vertical="center" wrapText="1"/>
    </xf>
    <xf numFmtId="166" fontId="9" fillId="2" borderId="2" xfId="0" applyNumberFormat="1" applyFont="1" applyFill="1" applyBorder="1" applyAlignment="1">
      <alignment horizontal="center" vertical="center" wrapText="1"/>
    </xf>
    <xf numFmtId="166" fontId="0" fillId="0" borderId="0" xfId="0" applyNumberFormat="1" applyAlignment="1">
      <alignment horizontal="center" vertical="center"/>
    </xf>
    <xf numFmtId="165" fontId="12" fillId="0" borderId="0" xfId="0" applyNumberFormat="1" applyFont="1" applyAlignment="1">
      <alignment horizontal="center" vertical="center"/>
    </xf>
    <xf numFmtId="0" fontId="12" fillId="0" borderId="0" xfId="0" applyFont="1" applyAlignment="1">
      <alignment horizontal="center" vertical="center"/>
    </xf>
    <xf numFmtId="165" fontId="9" fillId="2" borderId="2" xfId="0" applyNumberFormat="1" applyFont="1" applyFill="1" applyBorder="1" applyAlignment="1">
      <alignment horizontal="center" vertical="center" wrapText="1"/>
    </xf>
    <xf numFmtId="0" fontId="0" fillId="3" borderId="0" xfId="0" applyFill="1"/>
    <xf numFmtId="0" fontId="0" fillId="3" borderId="0" xfId="0" applyFill="1" applyAlignment="1">
      <alignment horizontal="center" vertical="center"/>
    </xf>
    <xf numFmtId="14" fontId="0" fillId="3" borderId="0" xfId="0" applyNumberFormat="1" applyFill="1"/>
    <xf numFmtId="0" fontId="12" fillId="3" borderId="0" xfId="0" applyFont="1" applyFill="1"/>
    <xf numFmtId="0" fontId="12" fillId="3" borderId="0" xfId="0" applyFont="1" applyFill="1" applyAlignment="1">
      <alignment horizontal="center" vertical="center"/>
    </xf>
    <xf numFmtId="0" fontId="0" fillId="3" borderId="17" xfId="0"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12" fillId="0" borderId="0" xfId="0" applyFont="1" applyAlignment="1">
      <alignment horizontal="center"/>
    </xf>
    <xf numFmtId="14" fontId="0" fillId="0" borderId="0" xfId="0" applyNumberFormat="1" applyAlignment="1">
      <alignment horizontal="center"/>
    </xf>
    <xf numFmtId="14" fontId="0" fillId="0" borderId="0" xfId="0" applyNumberFormat="1"/>
    <xf numFmtId="0" fontId="10" fillId="0" borderId="0" xfId="1"/>
    <xf numFmtId="165" fontId="0" fillId="3" borderId="0" xfId="0" applyNumberFormat="1" applyFill="1" applyAlignment="1">
      <alignment horizontal="center" vertical="center"/>
    </xf>
    <xf numFmtId="0" fontId="16" fillId="5" borderId="7" xfId="0" applyFont="1" applyFill="1" applyBorder="1" applyAlignment="1">
      <alignment horizontal="center" vertical="center" wrapText="1"/>
    </xf>
    <xf numFmtId="0" fontId="16" fillId="5" borderId="0" xfId="0" applyFont="1" applyFill="1" applyAlignment="1">
      <alignment horizontal="center" vertical="center" wrapText="1"/>
    </xf>
    <xf numFmtId="49" fontId="0" fillId="0" borderId="0" xfId="0" applyNumberFormat="1" applyAlignment="1">
      <alignment horizontal="left" vertical="center"/>
    </xf>
    <xf numFmtId="167" fontId="0" fillId="0" borderId="0" xfId="2" applyNumberFormat="1" applyFont="1"/>
    <xf numFmtId="9" fontId="0" fillId="0" borderId="0" xfId="3" applyFont="1"/>
    <xf numFmtId="167" fontId="0" fillId="0" borderId="0" xfId="0" applyNumberFormat="1"/>
    <xf numFmtId="49" fontId="0" fillId="0" borderId="0" xfId="0" applyNumberFormat="1"/>
    <xf numFmtId="0" fontId="17" fillId="0" borderId="0" xfId="0" applyFont="1"/>
    <xf numFmtId="49" fontId="17" fillId="0" borderId="0" xfId="0" applyNumberFormat="1" applyFont="1"/>
    <xf numFmtId="0" fontId="17" fillId="0" borderId="0" xfId="0" applyFont="1" applyAlignment="1">
      <alignment horizontal="center"/>
    </xf>
    <xf numFmtId="0" fontId="0" fillId="3" borderId="0" xfId="0" applyFill="1" applyAlignment="1">
      <alignment horizontal="center"/>
    </xf>
    <xf numFmtId="165" fontId="0" fillId="6" borderId="0" xfId="0" applyNumberFormat="1" applyFill="1" applyAlignment="1">
      <alignment horizontal="center" vertical="center"/>
    </xf>
    <xf numFmtId="164" fontId="0" fillId="0" borderId="0" xfId="0" applyNumberFormat="1" applyAlignment="1">
      <alignment horizontal="center"/>
    </xf>
    <xf numFmtId="0" fontId="3" fillId="2" borderId="2" xfId="0" applyFont="1" applyFill="1" applyBorder="1" applyAlignment="1">
      <alignment horizontal="left" vertical="center" wrapText="1"/>
    </xf>
    <xf numFmtId="49" fontId="0" fillId="0" borderId="0" xfId="0" applyNumberFormat="1" applyAlignment="1">
      <alignment horizontal="left"/>
    </xf>
    <xf numFmtId="14" fontId="0" fillId="0" borderId="0" xfId="0" applyNumberFormat="1" applyAlignment="1">
      <alignment horizontal="center" vertical="center"/>
    </xf>
    <xf numFmtId="165" fontId="0" fillId="2" borderId="0" xfId="0" applyNumberFormat="1" applyFill="1" applyAlignment="1">
      <alignment horizontal="center" vertical="center"/>
    </xf>
    <xf numFmtId="14" fontId="0" fillId="2" borderId="0" xfId="0" applyNumberFormat="1" applyFill="1" applyAlignment="1">
      <alignment horizontal="center" vertical="center"/>
    </xf>
    <xf numFmtId="0" fontId="12" fillId="4" borderId="0" xfId="0" applyFont="1" applyFill="1"/>
    <xf numFmtId="0" fontId="14" fillId="4" borderId="0" xfId="0" applyFont="1" applyFill="1" applyAlignment="1">
      <alignment vertical="center"/>
    </xf>
    <xf numFmtId="165" fontId="0" fillId="7" borderId="0" xfId="0" applyNumberFormat="1" applyFill="1" applyAlignment="1">
      <alignment horizontal="center" vertical="center"/>
    </xf>
    <xf numFmtId="0" fontId="18" fillId="6" borderId="0" xfId="0" applyFont="1" applyFill="1"/>
    <xf numFmtId="0" fontId="18" fillId="2" borderId="0" xfId="0" applyFont="1" applyFill="1"/>
    <xf numFmtId="0" fontId="18" fillId="7" borderId="0" xfId="0" applyFont="1" applyFill="1"/>
    <xf numFmtId="0" fontId="0" fillId="3" borderId="18" xfId="0" applyFill="1" applyBorder="1" applyAlignment="1">
      <alignment horizontal="center" vertical="center"/>
    </xf>
    <xf numFmtId="0" fontId="0" fillId="3" borderId="20" xfId="0" applyFill="1" applyBorder="1" applyAlignment="1">
      <alignment horizontal="center" vertical="center"/>
    </xf>
    <xf numFmtId="0" fontId="0" fillId="3" borderId="22" xfId="0" applyFill="1" applyBorder="1" applyAlignment="1">
      <alignment horizontal="center" vertical="center"/>
    </xf>
    <xf numFmtId="0" fontId="0" fillId="3" borderId="0" xfId="0" applyFont="1" applyFill="1"/>
  </cellXfs>
  <cellStyles count="4">
    <cellStyle name="Currency" xfId="2" builtinId="4"/>
    <cellStyle name="Hyperlink" xfId="1" builtinId="8"/>
    <cellStyle name="Normal" xfId="0" builtinId="0"/>
    <cellStyle name="Percent" xfId="3"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9</xdr:col>
      <xdr:colOff>521804</xdr:colOff>
      <xdr:row>1</xdr:row>
      <xdr:rowOff>91109</xdr:rowOff>
    </xdr:from>
    <xdr:to>
      <xdr:col>15</xdr:col>
      <xdr:colOff>57978</xdr:colOff>
      <xdr:row>6</xdr:row>
      <xdr:rowOff>165652</xdr:rowOff>
    </xdr:to>
    <xdr:sp macro="" textlink="">
      <xdr:nvSpPr>
        <xdr:cNvPr id="2" name="TextBox 1">
          <a:extLst>
            <a:ext uri="{FF2B5EF4-FFF2-40B4-BE49-F238E27FC236}">
              <a16:creationId xmlns:a16="http://schemas.microsoft.com/office/drawing/2014/main" id="{5CDEDC7F-E486-9B06-84D1-8B7B20979709}"/>
            </a:ext>
          </a:extLst>
        </xdr:cNvPr>
        <xdr:cNvSpPr txBox="1"/>
      </xdr:nvSpPr>
      <xdr:spPr>
        <a:xfrm>
          <a:off x="10817087" y="281609"/>
          <a:ext cx="3279913" cy="10270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Notes.</a:t>
          </a:r>
        </a:p>
        <a:p>
          <a:r>
            <a:rPr lang="en-US" sz="1100"/>
            <a:t>- N/A</a:t>
          </a:r>
          <a:r>
            <a:rPr lang="en-US" sz="1100" baseline="0"/>
            <a:t> will not show up on the Dashboard</a:t>
          </a:r>
        </a:p>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person displayName="Kourtney Miller" id="{0AD45BD6-9908-41E4-80DD-381203A5D1C1}" userId="S::k0m0eg1@homeoffice.wal-mart.com::259b18c5-446d-4dd9-aa20-cb703c0c935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 dT="2026-04-21T14:16:42.47" personId="{0AD45BD6-9908-41E4-80DD-381203A5D1C1}" id="{0183F037-2CBE-4112-8426-8E454945119D}">
    <text>Not sure the exact date.  BDR was redone after Aug ASM Rejection.</text>
  </threadedComment>
  <threadedComment ref="E10" dT="2026-04-21T12:30:08.65" personId="{0AD45BD6-9908-41E4-80DD-381203A5D1C1}" id="{D93B35F1-6126-49F0-BC60-653F046222E9}">
    <text>$500K was loaded.  The remaining $500K has not been approved</text>
  </threadedComment>
  <threadedComment ref="F10" dT="2026-04-21T12:30:08.65" personId="{0AD45BD6-9908-41E4-80DD-381203A5D1C1}" id="{5A8E346F-E53D-4BBB-848F-A1C20039CBBB}">
    <text>$500K was loaded.  The remaining $500K has not been approved</text>
  </threadedComment>
  <threadedComment ref="G10" dT="2026-04-21T12:30:08.65" personId="{0AD45BD6-9908-41E4-80DD-381203A5D1C1}" id="{F79C2972-297C-41CA-8843-CA47CB135351}">
    <text>$500K was loaded.  The remaining $500K has not been approved</text>
  </threadedComment>
  <threadedComment ref="H10" dT="2026-04-21T12:30:08.65" personId="{0AD45BD6-9908-41E4-80DD-381203A5D1C1}" id="{5867599F-CE04-4790-AFAF-AFD33A816A73}">
    <text>$500K was loaded.  The remaining $500K has not been approved</text>
  </threadedComment>
  <threadedComment ref="C13" dT="2026-04-22T12:48:52.19" personId="{0AD45BD6-9908-41E4-80DD-381203A5D1C1}" id="{FD9F783E-8E52-497E-AE04-AD1241596A30}">
    <text>Received partial 60% need remaining $784.5K that requires CPC approval by 6/26/26</text>
  </threadedComment>
  <threadedComment ref="D14" dT="2026-04-22T12:47:24.77" personId="{0AD45BD6-9908-41E4-80DD-381203A5D1C1}" id="{1D534BCA-8427-4D56-835E-F766105CE292}">
    <text>Partial 90% approved.  Need additional 417K requires CPC approval by 6/12/26</text>
  </threadedComment>
  <threadedComment ref="F16" dT="2026-04-23T21:00:07.11" personId="{0AD45BD6-9908-41E4-80DD-381203A5D1C1}" id="{B4072AC4-A8EE-4056-AF55-77278AA1688F}">
    <text>At Risk due Karisa availability.  Site Selection Trip not planned until 8/25</text>
  </threadedComment>
  <threadedComment ref="A17" dT="2026-05-08T20:34:59.47" personId="{0AD45BD6-9908-41E4-80DD-381203A5D1C1}" id="{6D15E7A5-F995-46E6-93A8-A476159ABD56}">
    <text>Start of Desing is the first Monday after receiving 30% Design DD</text>
  </threadedComment>
  <threadedComment ref="D64" dT="2026-04-23T19:26:15.32" personId="{0AD45BD6-9908-41E4-80DD-381203A5D1C1}" id="{CF413314-5518-4487-9E68-E5576FB49E1E}">
    <text>Got pulled from the agenda on 4/23/26 due to a legal not having the right signature.  Pending Rescheduling</text>
  </threadedComment>
</ThreadedComments>
</file>

<file path=xl/threadedComments/threadedComment2.xml><?xml version="1.0" encoding="utf-8"?>
<ThreadedComments xmlns="http://schemas.microsoft.com/office/spreadsheetml/2018/threadedcomments" xmlns:x="http://schemas.openxmlformats.org/spreadsheetml/2006/main">
  <threadedComment ref="C7" dT="2026-04-16T15:55:12.76" personId="{0AD45BD6-9908-41E4-80DD-381203A5D1C1}" id="{1BD1A3FC-3E26-4C29-9A8F-E0AF0B3B2E12}">
    <text>This USDC is for the Land Bank</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18" Type="http://schemas.openxmlformats.org/officeDocument/2006/relationships/hyperlink" Target="https://teams.wal-mart.com/:p:/r/sites/TechnologyandAutomation/Shared%20Documents/PMO/Fulfillment/NextGens/02.%20Presentations/01.%20%20Steer%20Co%20Presentations/26_04_17%20SteerCo%20MCO%20BDR_Buckeye%20Land%20Requirements.pptx?d=w38d9deef7f094a31b4a77a89e897b35f&amp;csf=1&amp;web=1&amp;e=cIFurb" TargetMode="External"/><Relationship Id="rId26" Type="http://schemas.openxmlformats.org/officeDocument/2006/relationships/hyperlink" Target="https://teams.wal-mart.com/:p:/r/sites/TechnologyandAutomation/Shared%20Documents/PMO/Fulfillment/NextGens/02.%20Presentations/01.%20%20Steer%20Co%20Presentations/26_03_05%20SteerCo%20IP%20Moved%20to%2080%25_Wallkill%20Political%20Update%20%26%20Business%20Case.pptx?d=w07127f8f0a314e8395c570ec3c7753b7&amp;csf=1&amp;web=1&amp;e=mJzRFA" TargetMode="External"/><Relationship Id="rId39"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21" Type="http://schemas.openxmlformats.org/officeDocument/2006/relationships/hyperlink" Target="https://teams.wal-mart.com/:p:/r/sites/TechnologyandAutomation/Shared%20Documents/PMO/Fulfillment/NextGens/02.%20Presentations/01.%20%20Steer%20Co%20Presentations/26_02_26%20SteerCo%20Carnesville%20BC_IP%20Increase_EV%20Yard%20Trucks.pptx?d=w483415fbde51469688ade05b37b8542f&amp;csf=1&amp;web=1&amp;e=aU0OaP" TargetMode="External"/><Relationship Id="rId34" Type="http://schemas.openxmlformats.org/officeDocument/2006/relationships/hyperlink" Target="https://teams.wal-mart.com/:p:/r/sites/TechnologyandAutomation/Shared%20Documents/PMO/Fulfillment/NextGens/02.%20Presentations/01.%20%20Steer%20Co%20Presentations/26_04_02%20SteerCo%20Cost%20to%20Server%20Carnesville%20Maintenance%20Strategy.pptx?d=w876d4d25a3a3479f9703ef581bdc54c8&amp;csf=1&amp;web=1&amp;e=lfF9uT" TargetMode="External"/><Relationship Id="rId42"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47" Type="http://schemas.openxmlformats.org/officeDocument/2006/relationships/hyperlink" Target="https://teams.wal-mart.com/:p:/r/sites/TechnologyandAutomation/Shared%20Documents/PMO/Fulfillment/NextGens/02.%20Presentations/Rob%20Presentations/26_04_24%20Buckeye%20Land%20Purchase%20Alignment.pptx?d=w79ea097951a34a778b4d3c07a8ae8405&amp;csf=1&amp;web=1&amp;e=q8Rf3o" TargetMode="External"/><Relationship Id="rId50" Type="http://schemas.openxmlformats.org/officeDocument/2006/relationships/hyperlink" Target="https://teams.wal-mart.com/:p:/r/sites/TechnologyandAutomation/Shared%20Documents/PMO/Fulfillment/NextGens/02.%20Presentations/01.%20%20Steer%20Co%20Presentations/26_04_30%20SteerCo.pptx?d=wdb87420320c440f3a352dd4f0e632eb9&amp;csf=1&amp;web=1&amp;e=B6iMdT" TargetMode="External"/><Relationship Id="rId55" Type="http://schemas.openxmlformats.org/officeDocument/2006/relationships/hyperlink" Target="https://teams.wal-mart.com/:p:/r/sites/TechnologyandAutomation/Shared%20Documents/PMO/Fulfillment/NextGens/02.%20Presentations/01.%20%20Steer%20Co%20Presentations/26_05_14%20SteerCo.pptx?d=wfcde045a0ff1452686c02d98bf7836c7&amp;csf=1&amp;web=1&amp;e=8aJxB1" TargetMode="External"/><Relationship Id="rId7"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2" Type="http://schemas.openxmlformats.org/officeDocument/2006/relationships/hyperlink" Target="https://teams.wal-mart.com/:p:/r/sites/TechnologyandAutomation/Shared%20Documents/PMO/Fulfillment/NextGens/02.%20Presentations/02.%20%20Vertical%20Start-up/26_04_02%20VS%20Wallkill.pptx?d=wc865963c9ae9471eadaab4874899b7a7&amp;csf=1&amp;web=1&amp;e=6QH5SR" TargetMode="External"/><Relationship Id="rId16" Type="http://schemas.openxmlformats.org/officeDocument/2006/relationships/hyperlink" Target="https://teams.wal-mart.com/:p:/r/sites/TechnologyandAutomation/Shared%20Documents/PMO/Fulfillment/NextGens/02.%20Presentations/01.%20%20Steer%20Co%20Presentations/26_04_08%20SteerCo.pptx?d=w10030f72a8ce4223bcf0ad19613445f1&amp;csf=1&amp;web=1&amp;e=5phvz9" TargetMode="External"/><Relationship Id="rId29" Type="http://schemas.openxmlformats.org/officeDocument/2006/relationships/hyperlink" Target="https://teams.wal-mart.com/:p:/r/sites/TechnologyandAutomation/Shared%20Documents/PMO/Fulfillment/NextGens/02.%20Presentations/01.%20%20Steer%20Co%20Presentations/26_03_05%20SteerCo%20IP%20Moved%20to%2080%25_Wallkill%20Political%20Update%20%26%20Business%20Case.pptx?d=w07127f8f0a314e8395c570ec3c7753b7&amp;csf=1&amp;web=1&amp;e=mJzRFA" TargetMode="External"/><Relationship Id="rId11"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24" Type="http://schemas.openxmlformats.org/officeDocument/2006/relationships/hyperlink" Target="https://teams.wal-mart.com/:p:/r/sites/TechnologyandAutomation/Shared%20Documents/PMO/Fulfillment/NextGens/02.%20Presentations/01.%20%20Steer%20Co%20Presentations/26_03_19%20SteerCo%20BDR%20Buckeye%20%26%20Wallkill_%20Wallkill%20Timeline.pptx?d=w0e7c34317d1a4d97b16574d08ad8a49d&amp;csf=1&amp;web=1&amp;e=mOqfbx" TargetMode="External"/><Relationship Id="rId32" Type="http://schemas.openxmlformats.org/officeDocument/2006/relationships/hyperlink" Target="https://teams.wal-mart.com/:p:/r/sites/TechnologyandAutomation/Shared%20Documents/PMO/Fulfillment/NextGens/02.%20Presentations/01.%20%20Steer%20Co%20Presentations/26_03_12%20SteerCo.pptx?d=w970d351de1e84db7811c7aa78bae01a9&amp;csf=1&amp;web=1&amp;e=V0ELec" TargetMode="External"/><Relationship Id="rId37"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40"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45" Type="http://schemas.openxmlformats.org/officeDocument/2006/relationships/hyperlink" Target="https://teams.wal-mart.com/:p:/r/sites/TechnologyandAutomation/Shared%20Documents/PMO/Fulfillment/NextGens/02.%20Presentations/01.%20%20Steer%20Co%20Presentations/26_04_27%20Wallkill%20IRR%20Deep%20Dive.pptx?d=w5d08b18b5ec84bd1b9aa93de82721232&amp;csf=1&amp;web=1&amp;e=PGWwPK" TargetMode="External"/><Relationship Id="rId53" Type="http://schemas.openxmlformats.org/officeDocument/2006/relationships/hyperlink" Target="https://teams.wal-mart.com/:p:/r/sites/TechnologyandAutomation/Shared%20Documents/PMO/Fulfillment/NextGens/02.%20Presentations/01.%20%20Steer%20Co%20Presentations/26_01_29%20Northeast%20Spec%20Bld%20Analysis.pptx?d=w9c538d8635b94c129ba00ea7eac27a0e&amp;csf=1&amp;web=1&amp;e=Cn3L1m" TargetMode="External"/><Relationship Id="rId5" Type="http://schemas.openxmlformats.org/officeDocument/2006/relationships/hyperlink" Target="https://teams.wal-mart.com/:p:/r/sites/TechnologyandAutomation/Shared%20Documents/PMO/Fulfillment/NextGens/02.%20Presentations/01.%20%20Steer%20Co%20Presentations/26_04_02%20SteerCo%20Cost%20to%20Server%20Carnesville%20Maintenance%20Strategy.pptx?d=w876d4d25a3a3479f9703ef581bdc54c8&amp;csf=1&amp;web=1&amp;e=yN9ogX" TargetMode="External"/><Relationship Id="rId19" Type="http://schemas.openxmlformats.org/officeDocument/2006/relationships/hyperlink" Target="https://teams.wal-mart.com/:p:/r/sites/TechnologyandAutomation/Shared%20Documents/PMO/Fulfillment/NextGens/02.%20Presentations/01.%20%20Steer%20Co%20Presentations/26_04_13%20SteerCo%20NG%20%26%20NS%20Campus.pptx?d=w41173a6f757f4cfc818111ad35e8a3cd&amp;csf=1&amp;web=1&amp;e=FsS4WG" TargetMode="External"/><Relationship Id="rId4"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9"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14" Type="http://schemas.openxmlformats.org/officeDocument/2006/relationships/hyperlink" Target="https://teams.wal-mart.com/:p:/r/sites/TechnologyandAutomation/Shared%20Documents/PMO/Fulfillment/NextGens/02.%20Presentations/Rob%20Presentations/26_04_07%20Rob%20Mechanism%20Update.pptx?d=wd04989df9ead42a7b896714f11d78131&amp;csf=1&amp;web=1&amp;e=1Z2Hqn" TargetMode="External"/><Relationship Id="rId22" Type="http://schemas.openxmlformats.org/officeDocument/2006/relationships/hyperlink" Target="https://teams.wal-mart.com/:b:/r/sites/TechnologyandAutomation/Shared%20Documents/PMO/Fulfillment/NextGens/02.%20Presentations/01.%20%20Steer%20Co%20Presentations/26_02_20%20Carnesville%20CapEx%20Reduction%20Slides-SteerCo.pdf?csf=1&amp;web=1&amp;e=qGXObA" TargetMode="External"/><Relationship Id="rId27" Type="http://schemas.openxmlformats.org/officeDocument/2006/relationships/hyperlink" Target="https://teams.wal-mart.com/:p:/r/sites/TechnologyandAutomation/Shared%20Documents/PMO/Fulfillment/NextGens/02.%20Presentations/01.%20%20Steer%20Co%20Presentations/26_03_05%20SteerCo%20IP%20Moved%20to%2080%25_Wallkill%20Political%20Update%20%26%20Business%20Case.pptx?d=w07127f8f0a314e8395c570ec3c7753b7&amp;csf=1&amp;web=1&amp;e=mJzRFA" TargetMode="External"/><Relationship Id="rId30" Type="http://schemas.openxmlformats.org/officeDocument/2006/relationships/hyperlink" Target="https://teams.wal-mart.com/:p:/r/sites/TechnologyandAutomation/Shared%20Documents/PMO/Fulfillment/NextGens/02.%20Presentations/01.%20%20Steer%20Co%20Presentations/26_03_12%20SteerCo.pptx?d=w970d351de1e84db7811c7aa78bae01a9&amp;csf=1&amp;web=1&amp;e=V0ELec" TargetMode="External"/><Relationship Id="rId35" Type="http://schemas.openxmlformats.org/officeDocument/2006/relationships/hyperlink" Target="https://teams.wal-mart.com/:p:/r/sites/TechnologyandAutomation/Shared%20Documents/PMO/Fulfillment/NextGens/02.%20Presentations/01.%20%20Steer%20Co%20Presentations/26_04_23%20SteerCo%20MSP,%20DEN,%20%26%20SEA%20BDR.pptx?d=w0637acf4cfdd4ba299bb8ac3fa0569af&amp;csf=1&amp;web=1&amp;e=mNMPeN" TargetMode="External"/><Relationship Id="rId43"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48" Type="http://schemas.openxmlformats.org/officeDocument/2006/relationships/hyperlink" Target="https://teams.wal-mart.com/:p:/r/sites/TechnologyandAutomation/Shared%20Documents/PMO/Fulfillment/NextGens/02.%20Presentations/01.%20%20Steer%20Co%20Presentations/26_05_04%20SteerCo.pptx?d=wd44f71dddce1499cb3c5f8a6f9c7fd63&amp;csf=1&amp;web=1&amp;e=40F5If" TargetMode="External"/><Relationship Id="rId56" Type="http://schemas.openxmlformats.org/officeDocument/2006/relationships/hyperlink" Target="https://teams.wal-mart.com/:p:/r/sites/TechnologyandAutomation/Shared%20Documents/PMO/Fulfillment/NextGens/02.%20Presentations/01.%20%20Steer%20Co%20Presentations/26_04_30%20NextGen%20Burn%20Testing%20OpEx%20Required.pptx?d=wd99f0bea311e458c940769f98e41f64d&amp;csf=1&amp;web=1&amp;e=TJNOEa" TargetMode="External"/><Relationship Id="rId8"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51" Type="http://schemas.openxmlformats.org/officeDocument/2006/relationships/hyperlink" Target="https://teams.wal-mart.com/:p:/r/sites/TechnologyandAutomation/Shared%20Documents/PMO/Fulfillment/NextGens/02.%20Presentations/01.%20%20Steer%20Co%20Presentations/26_04_30%20SteerCo.pptx?d=wdb87420320c440f3a352dd4f0e632eb9&amp;csf=1&amp;web=1&amp;e=B6iMdT" TargetMode="External"/><Relationship Id="rId3" Type="http://schemas.openxmlformats.org/officeDocument/2006/relationships/hyperlink" Target="https://teams.wal-mart.com/:p:/r/sites/TechnologyandAutomation/Shared%20Documents/PMO/Fulfillment/NextGens/02.%20Presentations/02.%20%20Vertical%20Start-up/26_04_02%20VS%20Wallkill.pptx?d=wc865963c9ae9471eadaab4874899b7a7&amp;csf=1&amp;web=1&amp;e=6QH5SR" TargetMode="External"/><Relationship Id="rId12"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17" Type="http://schemas.openxmlformats.org/officeDocument/2006/relationships/hyperlink" Target="https://teams.wal-mart.com/:p:/r/sites/TechnologyandAutomation/Shared%20Documents/PMO/Fulfillment/NextGens/02.%20Presentations/01.%20%20Steer%20Co%20Presentations/26_04_17%20SteerCo%20MCO%20BDR_Buckeye%20Land%20Requirements.pptx?d=w38d9deef7f094a31b4a77a89e897b35f&amp;csf=1&amp;web=1&amp;e=cIFurb" TargetMode="External"/><Relationship Id="rId25" Type="http://schemas.openxmlformats.org/officeDocument/2006/relationships/hyperlink" Target="https://teams.wal-mart.com/:p:/r/sites/TechnologyandAutomation/Shared%20Documents/PMO/Fulfillment/NextGens/02.%20Presentations/01.%20%20Steer%20Co%20Presentations/26_03_19%20SteerCo%20BDR%20Buckeye%20%26%20Wallkill_%20Wallkill%20Timeline.pptx?d=w0e7c34317d1a4d97b16574d08ad8a49d&amp;csf=1&amp;web=1&amp;e=mOqfbx" TargetMode="External"/><Relationship Id="rId33" Type="http://schemas.openxmlformats.org/officeDocument/2006/relationships/hyperlink" Target="https://teams.wal-mart.com/:p:/r/sites/TechnologyandAutomation/Shared%20Documents/PMO/Fulfillment/NextGens/02.%20Presentations/01.%20%20Steer%20Co%20Presentations/26_04_02%20SteerCo%20Cost%20to%20Server%20Carnesville%20Maintenance%20Strategy.pptx?d=w876d4d25a3a3479f9703ef581bdc54c8&amp;csf=1&amp;web=1&amp;e=lfF9uT" TargetMode="External"/><Relationship Id="rId38"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46" Type="http://schemas.openxmlformats.org/officeDocument/2006/relationships/hyperlink" Target="https://teams.wal-mart.com/:p:/r/sites/TechnologyandAutomation/Shared%20Documents/PMO/Fulfillment/NextGens/02.%20Presentations/01.%20%20Steer%20Co%20Presentations/26_03_12%20SteerCo%20Energy%20CapEx%20Increase.pptx?d=w970d351de1e84db7811c7aa78bae01a9&amp;csf=1&amp;web=1&amp;e=OwhQ0n" TargetMode="External"/><Relationship Id="rId20" Type="http://schemas.openxmlformats.org/officeDocument/2006/relationships/hyperlink" Target="https://teams.wal-mart.com/:p:/r/sites/TechnologyandAutomation/Shared%20Documents/PMO/Fulfillment/NextGens/02.%20Presentations/01.%20%20Steer%20Co%20Presentations/26_02_26%20SteerCo%20Carnesville%20BC_IP%20Increase_EV%20Yard%20Trucks.pptx?d=w483415fbde51469688ade05b37b8542f&amp;csf=1&amp;web=1&amp;e=aU0OaP" TargetMode="External"/><Relationship Id="rId41"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54" Type="http://schemas.openxmlformats.org/officeDocument/2006/relationships/hyperlink" Target="https://teams.wal-mart.com/:p:/r/sites/TechnologyandAutomation/Shared%20Documents/PMO/Fulfillment/NextGens/02.%20Presentations/01.%20%20Steer%20Co%20Presentations/26_05_08%20SteerCo.pptx?d=wd863957755e742f8bfaaadcb434b30d7&amp;csf=1&amp;web=1&amp;e=6FERxe" TargetMode="External"/><Relationship Id="rId1" Type="http://schemas.openxmlformats.org/officeDocument/2006/relationships/hyperlink" Target="https://teams.wal-mart.com/:p:/r/sites/TechnologyandAutomation/Shared%20Documents/PMO/Fulfillment/NextGens/02.%20Presentations/02.%20%20Vertical%20Start-up/26_04_02%20VS%20Wallkill.pptx?d=wc865963c9ae9471eadaab4874899b7a7&amp;csf=1&amp;web=1&amp;e=6QH5SR" TargetMode="External"/><Relationship Id="rId6" Type="http://schemas.openxmlformats.org/officeDocument/2006/relationships/hyperlink" Target="https://teams.wal-mart.com/:p:/r/sites/TechnologyandAutomation/Shared%20Documents/PMO/Fulfillment/NextGens/02.%20Presentations/01.%20%20Steer%20Co%20Presentations/26_04_02%20SteerCo%20Cost%20to%20Server%20Carnesville%20Maintenance%20Strategy.pptx?d=w876d4d25a3a3479f9703ef581bdc54c8&amp;csf=1&amp;web=1&amp;e=yN9ogX" TargetMode="External"/><Relationship Id="rId15" Type="http://schemas.openxmlformats.org/officeDocument/2006/relationships/hyperlink" Target="https://teams.wal-mart.com/:p:/r/sites/TechnologyandAutomation/Shared%20Documents/PMO/Fulfillment/NextGens/02.%20Presentations/01.%20%20Steer%20Co%20Presentations/26_04_23%20SteerCo%20MSP,%20DEN,%20%26%20SEA%20BDR.pptx?d=w0637acf4cfdd4ba299bb8ac3fa0569af&amp;csf=1&amp;web=1&amp;e=mNMPeN" TargetMode="External"/><Relationship Id="rId23" Type="http://schemas.openxmlformats.org/officeDocument/2006/relationships/hyperlink" Target="https://teams.wal-mart.com/:p:/r/sites/TechnologyandAutomation/Shared%20Documents/PMO/Fulfillment/NextGens/02.%20Presentations/01.%20%20Steer%20Co%20Presentations/26_03_19%20SteerCo%20BDR%20Buckeye%20%26%20Wallkill_%20Wallkill%20Timeline.pptx?d=w0e7c34317d1a4d97b16574d08ad8a49d&amp;csf=1&amp;web=1&amp;e=mOqfbx" TargetMode="External"/><Relationship Id="rId28" Type="http://schemas.openxmlformats.org/officeDocument/2006/relationships/hyperlink" Target="https://teams.wal-mart.com/:p:/r/sites/TechnologyandAutomation/Shared%20Documents/PMO/Fulfillment/NextGens/02.%20Presentations/01.%20%20Steer%20Co%20Presentations/26_03_05%20SteerCo%20IP%20Moved%20to%2080%25_Wallkill%20Political%20Update%20%26%20Business%20Case.pptx?d=w07127f8f0a314e8395c570ec3c7753b7&amp;csf=1&amp;web=1&amp;e=mJzRFA" TargetMode="External"/><Relationship Id="rId36"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49" Type="http://schemas.openxmlformats.org/officeDocument/2006/relationships/hyperlink" Target="https://teams.wal-mart.com/:p:/r/sites/TechnologyandAutomation/Shared%20Documents/PMO/Fulfillment/NextGens/02.%20Presentations/01.%20%20Steer%20Co%20Presentations/26_05_04%20SteerCo.pptx?d=wd44f71dddce1499cb3c5f8a6f9c7fd63&amp;csf=1&amp;web=1&amp;e=40F5If" TargetMode="External"/><Relationship Id="rId57" Type="http://schemas.openxmlformats.org/officeDocument/2006/relationships/hyperlink" Target="https://teams.wal-mart.com/:p:/r/sites/TechnologyandAutomation/Shared%20Documents/PMO/Fulfillment/NextGens/02.%20Presentations/01.%20%20Steer%20Co%20Presentations/26_05_20%20SteerCo%20Wallkill%20Scenarios.pptx?d=waa33fa32cdff4b44be75eb893feb1364&amp;csf=1&amp;web=1&amp;e=oF1OhE" TargetMode="External"/><Relationship Id="rId10"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31" Type="http://schemas.openxmlformats.org/officeDocument/2006/relationships/hyperlink" Target="https://teams.wal-mart.com/:p:/r/sites/TechnologyandAutomation/Shared%20Documents/PMO/Fulfillment/NextGens/02.%20Presentations/01.%20%20Steer%20Co%20Presentations/26_03_12%20SteerCo.pptx?d=w970d351de1e84db7811c7aa78bae01a9&amp;csf=1&amp;web=1&amp;e=V0ELec" TargetMode="External"/><Relationship Id="rId44"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52" Type="http://schemas.openxmlformats.org/officeDocument/2006/relationships/hyperlink" Target="https://teams.wal-mart.com/:p:/r/sites/TechnologyandAutomation/Shared%20Documents/PMO/Fulfillment/NextGens/02.%20Presentations/01.%20%20Steer%20Co%20Presentations/26_05_04%20SteerCo.pptx?d=wd44f71dddce1499cb3c5f8a6f9c7fd63&amp;csf=1&amp;web=1&amp;e=40F5If"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hyperlink" Target="mailto: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6F118-3878-4B08-9770-97E98989CF44}">
  <sheetPr>
    <tabColor rgb="FFFFC000"/>
  </sheetPr>
  <dimension ref="A1:H397"/>
  <sheetViews>
    <sheetView showGridLines="0" topLeftCell="A70" zoomScaleNormal="100" workbookViewId="0">
      <selection activeCell="B93" sqref="B93"/>
    </sheetView>
  </sheetViews>
  <sheetFormatPr defaultRowHeight="15" x14ac:dyDescent="0.25"/>
  <cols>
    <col min="1" max="1" width="19.5703125" style="33" customWidth="1"/>
    <col min="2" max="2" width="18.140625" style="33" customWidth="1"/>
    <col min="3" max="3" width="48" style="50" customWidth="1"/>
    <col min="4" max="4" width="10.140625" style="33" bestFit="1" customWidth="1"/>
    <col min="5" max="5" width="17.85546875" style="67" bestFit="1" customWidth="1"/>
    <col min="6" max="6" width="37" style="67" customWidth="1"/>
    <col min="7" max="7" width="61.140625" style="54" customWidth="1"/>
    <col min="8" max="8" width="72.7109375" style="50" customWidth="1"/>
  </cols>
  <sheetData>
    <row r="1" spans="1:8" ht="21" x14ac:dyDescent="0.25">
      <c r="A1" s="86" t="s">
        <v>0</v>
      </c>
    </row>
    <row r="3" spans="1:8" ht="18" x14ac:dyDescent="0.25">
      <c r="A3" s="51" t="s">
        <v>1</v>
      </c>
      <c r="B3" s="51" t="s">
        <v>2</v>
      </c>
      <c r="C3" s="52" t="s">
        <v>3</v>
      </c>
      <c r="D3" s="51" t="s">
        <v>4</v>
      </c>
      <c r="E3" s="66" t="s">
        <v>5</v>
      </c>
      <c r="F3" s="66" t="s">
        <v>6</v>
      </c>
      <c r="G3" s="59" t="s">
        <v>7</v>
      </c>
      <c r="H3" s="53" t="s">
        <v>8</v>
      </c>
    </row>
    <row r="4" spans="1:8" ht="36" x14ac:dyDescent="0.35">
      <c r="A4" s="2">
        <v>45762</v>
      </c>
      <c r="B4" s="2" t="s">
        <v>9</v>
      </c>
      <c r="C4" s="3" t="s">
        <v>10</v>
      </c>
      <c r="D4" s="4">
        <v>20</v>
      </c>
      <c r="E4" s="4" t="s">
        <v>11</v>
      </c>
      <c r="F4" s="5" t="s">
        <v>12</v>
      </c>
      <c r="G4" s="6"/>
      <c r="H4" s="8" t="s">
        <v>13</v>
      </c>
    </row>
    <row r="5" spans="1:8" ht="18" x14ac:dyDescent="0.35">
      <c r="A5" s="2">
        <v>45762</v>
      </c>
      <c r="B5" s="2" t="s">
        <v>9</v>
      </c>
      <c r="C5" s="3" t="s">
        <v>14</v>
      </c>
      <c r="D5" s="4">
        <v>20</v>
      </c>
      <c r="E5" s="4" t="s">
        <v>15</v>
      </c>
      <c r="F5" s="5" t="s">
        <v>16</v>
      </c>
      <c r="G5" s="6"/>
      <c r="H5" s="8"/>
    </row>
    <row r="6" spans="1:8" ht="18" x14ac:dyDescent="0.35">
      <c r="A6" s="2">
        <v>45769</v>
      </c>
      <c r="B6" s="2" t="s">
        <v>9</v>
      </c>
      <c r="C6" s="3" t="s">
        <v>17</v>
      </c>
      <c r="D6" s="4">
        <v>15</v>
      </c>
      <c r="E6" s="4" t="s">
        <v>18</v>
      </c>
      <c r="F6" s="5" t="s">
        <v>19</v>
      </c>
      <c r="G6" s="6"/>
      <c r="H6" s="8"/>
    </row>
    <row r="7" spans="1:8" ht="18" x14ac:dyDescent="0.35">
      <c r="A7" s="2">
        <v>45776</v>
      </c>
      <c r="B7" s="2" t="s">
        <v>9</v>
      </c>
      <c r="C7" s="3" t="s">
        <v>20</v>
      </c>
      <c r="D7" s="4">
        <v>15</v>
      </c>
      <c r="E7" s="4" t="s">
        <v>15</v>
      </c>
      <c r="F7" s="5" t="s">
        <v>21</v>
      </c>
      <c r="G7" s="6"/>
      <c r="H7" s="8"/>
    </row>
    <row r="8" spans="1:8" ht="18" x14ac:dyDescent="0.35">
      <c r="A8" s="2">
        <v>45776</v>
      </c>
      <c r="B8" s="2" t="s">
        <v>9</v>
      </c>
      <c r="C8" s="3" t="s">
        <v>22</v>
      </c>
      <c r="D8" s="4">
        <v>20</v>
      </c>
      <c r="E8" s="4" t="s">
        <v>23</v>
      </c>
      <c r="F8" s="5" t="s">
        <v>24</v>
      </c>
      <c r="G8" s="6"/>
      <c r="H8" s="8"/>
    </row>
    <row r="9" spans="1:8" ht="18" x14ac:dyDescent="0.35">
      <c r="A9" s="2">
        <v>45776</v>
      </c>
      <c r="B9" s="2" t="s">
        <v>9</v>
      </c>
      <c r="C9" s="3" t="s">
        <v>25</v>
      </c>
      <c r="D9" s="4">
        <v>15</v>
      </c>
      <c r="E9" s="4" t="s">
        <v>18</v>
      </c>
      <c r="F9" s="5" t="s">
        <v>26</v>
      </c>
      <c r="G9" s="6"/>
      <c r="H9" s="8"/>
    </row>
    <row r="10" spans="1:8" ht="36" x14ac:dyDescent="0.35">
      <c r="A10" s="2">
        <v>45776</v>
      </c>
      <c r="B10" s="2" t="s">
        <v>9</v>
      </c>
      <c r="C10" s="3" t="s">
        <v>27</v>
      </c>
      <c r="D10" s="4">
        <v>30</v>
      </c>
      <c r="E10" s="4" t="s">
        <v>23</v>
      </c>
      <c r="F10" s="5" t="s">
        <v>28</v>
      </c>
      <c r="G10" s="6"/>
      <c r="H10" s="8" t="s">
        <v>29</v>
      </c>
    </row>
    <row r="11" spans="1:8" ht="18" x14ac:dyDescent="0.35">
      <c r="A11" s="2">
        <v>45776</v>
      </c>
      <c r="B11" s="2" t="s">
        <v>9</v>
      </c>
      <c r="C11" s="3" t="s">
        <v>30</v>
      </c>
      <c r="D11" s="4">
        <v>15</v>
      </c>
      <c r="E11" s="4" t="s">
        <v>31</v>
      </c>
      <c r="F11" s="5" t="s">
        <v>32</v>
      </c>
      <c r="G11" s="6"/>
      <c r="H11" s="8"/>
    </row>
    <row r="12" spans="1:8" ht="18" x14ac:dyDescent="0.35">
      <c r="A12" s="2">
        <v>45776</v>
      </c>
      <c r="B12" s="2" t="s">
        <v>9</v>
      </c>
      <c r="C12" s="3" t="s">
        <v>33</v>
      </c>
      <c r="D12" s="4">
        <v>10</v>
      </c>
      <c r="E12" s="4" t="s">
        <v>34</v>
      </c>
      <c r="F12" s="5" t="s">
        <v>35</v>
      </c>
      <c r="G12" s="6"/>
      <c r="H12" s="8"/>
    </row>
    <row r="13" spans="1:8" ht="54" x14ac:dyDescent="0.35">
      <c r="A13" s="2">
        <v>45783</v>
      </c>
      <c r="B13" s="2" t="s">
        <v>9</v>
      </c>
      <c r="C13" s="3" t="s">
        <v>36</v>
      </c>
      <c r="D13" s="4">
        <v>30</v>
      </c>
      <c r="E13" s="4" t="s">
        <v>11</v>
      </c>
      <c r="F13" s="5" t="s">
        <v>37</v>
      </c>
      <c r="G13" s="6"/>
      <c r="H13" s="8" t="s">
        <v>38</v>
      </c>
    </row>
    <row r="14" spans="1:8" ht="36" x14ac:dyDescent="0.35">
      <c r="A14" s="2">
        <v>45783</v>
      </c>
      <c r="B14" s="2" t="s">
        <v>9</v>
      </c>
      <c r="C14" s="3" t="s">
        <v>39</v>
      </c>
      <c r="D14" s="4">
        <v>30</v>
      </c>
      <c r="E14" s="4" t="s">
        <v>34</v>
      </c>
      <c r="F14" s="5" t="s">
        <v>40</v>
      </c>
      <c r="G14" s="6"/>
      <c r="H14" s="8" t="s">
        <v>41</v>
      </c>
    </row>
    <row r="15" spans="1:8" ht="36" x14ac:dyDescent="0.35">
      <c r="A15" s="2">
        <v>45783</v>
      </c>
      <c r="B15" s="2" t="s">
        <v>9</v>
      </c>
      <c r="C15" s="3" t="s">
        <v>42</v>
      </c>
      <c r="D15" s="4">
        <v>20</v>
      </c>
      <c r="E15" s="4" t="s">
        <v>43</v>
      </c>
      <c r="F15" s="5"/>
      <c r="G15" s="6"/>
      <c r="H15" s="8"/>
    </row>
    <row r="16" spans="1:8" ht="18" x14ac:dyDescent="0.35">
      <c r="A16" s="2">
        <v>45783</v>
      </c>
      <c r="B16" s="2" t="s">
        <v>9</v>
      </c>
      <c r="C16" s="3" t="s">
        <v>44</v>
      </c>
      <c r="D16" s="4">
        <v>40</v>
      </c>
      <c r="E16" s="4" t="s">
        <v>45</v>
      </c>
      <c r="F16" s="5"/>
      <c r="G16" s="6"/>
      <c r="H16" s="8"/>
    </row>
    <row r="17" spans="1:8" ht="18" x14ac:dyDescent="0.35">
      <c r="A17" s="2">
        <v>45804</v>
      </c>
      <c r="B17" s="2" t="s">
        <v>9</v>
      </c>
      <c r="C17" s="3" t="s">
        <v>46</v>
      </c>
      <c r="D17" s="4">
        <v>20</v>
      </c>
      <c r="E17" s="4" t="s">
        <v>15</v>
      </c>
      <c r="F17" s="5" t="s">
        <v>47</v>
      </c>
      <c r="G17" s="6"/>
      <c r="H17" s="8"/>
    </row>
    <row r="18" spans="1:8" ht="36" x14ac:dyDescent="0.35">
      <c r="A18" s="2">
        <v>45804</v>
      </c>
      <c r="B18" s="2" t="s">
        <v>9</v>
      </c>
      <c r="C18" s="3" t="s">
        <v>48</v>
      </c>
      <c r="D18" s="4">
        <v>20</v>
      </c>
      <c r="E18" s="4" t="s">
        <v>23</v>
      </c>
      <c r="F18" s="5" t="s">
        <v>49</v>
      </c>
      <c r="G18" s="6"/>
      <c r="H18" s="8" t="s">
        <v>50</v>
      </c>
    </row>
    <row r="19" spans="1:8" ht="36" x14ac:dyDescent="0.35">
      <c r="A19" s="2">
        <v>45804</v>
      </c>
      <c r="B19" s="2" t="s">
        <v>9</v>
      </c>
      <c r="C19" s="3" t="s">
        <v>51</v>
      </c>
      <c r="D19" s="4">
        <v>30</v>
      </c>
      <c r="E19" s="4" t="s">
        <v>18</v>
      </c>
      <c r="F19" s="5" t="s">
        <v>52</v>
      </c>
      <c r="G19" s="6" t="s">
        <v>53</v>
      </c>
      <c r="H19" s="8" t="s">
        <v>54</v>
      </c>
    </row>
    <row r="20" spans="1:8" ht="30" customHeight="1" x14ac:dyDescent="0.35">
      <c r="A20" s="2">
        <v>45818</v>
      </c>
      <c r="B20" s="2" t="s">
        <v>9</v>
      </c>
      <c r="C20" s="3" t="s">
        <v>48</v>
      </c>
      <c r="D20" s="4">
        <v>20</v>
      </c>
      <c r="E20" s="4" t="s">
        <v>23</v>
      </c>
      <c r="F20" s="5" t="s">
        <v>49</v>
      </c>
      <c r="G20" s="6" t="s">
        <v>55</v>
      </c>
      <c r="H20" s="8" t="s">
        <v>56</v>
      </c>
    </row>
    <row r="21" spans="1:8" ht="30" customHeight="1" x14ac:dyDescent="0.35">
      <c r="A21" s="2">
        <v>45818</v>
      </c>
      <c r="B21" s="2" t="s">
        <v>9</v>
      </c>
      <c r="C21" s="3" t="s">
        <v>57</v>
      </c>
      <c r="D21" s="4">
        <v>30</v>
      </c>
      <c r="E21" s="4" t="s">
        <v>23</v>
      </c>
      <c r="F21" s="5" t="s">
        <v>23</v>
      </c>
      <c r="G21" s="6" t="s">
        <v>55</v>
      </c>
      <c r="H21" s="8" t="s">
        <v>58</v>
      </c>
    </row>
    <row r="22" spans="1:8" ht="18" x14ac:dyDescent="0.35">
      <c r="A22" s="2">
        <v>45825</v>
      </c>
      <c r="B22" s="2" t="s">
        <v>9</v>
      </c>
      <c r="C22" s="3" t="s">
        <v>59</v>
      </c>
      <c r="D22" s="4">
        <v>30</v>
      </c>
      <c r="E22" s="4" t="s">
        <v>11</v>
      </c>
      <c r="F22" s="5" t="s">
        <v>60</v>
      </c>
      <c r="G22" s="6" t="s">
        <v>55</v>
      </c>
      <c r="H22" s="8" t="s">
        <v>61</v>
      </c>
    </row>
    <row r="23" spans="1:8" ht="34.5" customHeight="1" x14ac:dyDescent="0.35">
      <c r="A23" s="2">
        <v>45825</v>
      </c>
      <c r="B23" s="2" t="s">
        <v>62</v>
      </c>
      <c r="C23" s="3" t="s">
        <v>63</v>
      </c>
      <c r="D23" s="4">
        <v>30</v>
      </c>
      <c r="E23" s="4" t="s">
        <v>23</v>
      </c>
      <c r="F23" s="5" t="s">
        <v>64</v>
      </c>
      <c r="G23" s="6" t="s">
        <v>55</v>
      </c>
      <c r="H23" s="8" t="s">
        <v>65</v>
      </c>
    </row>
    <row r="24" spans="1:8" ht="54.75" customHeight="1" x14ac:dyDescent="0.35">
      <c r="A24" s="2">
        <v>45825</v>
      </c>
      <c r="B24" s="2" t="s">
        <v>9</v>
      </c>
      <c r="C24" s="3" t="s">
        <v>66</v>
      </c>
      <c r="D24" s="4">
        <v>30</v>
      </c>
      <c r="E24" s="4" t="s">
        <v>23</v>
      </c>
      <c r="F24" s="5" t="s">
        <v>23</v>
      </c>
      <c r="G24" s="6" t="s">
        <v>55</v>
      </c>
      <c r="H24" s="8" t="s">
        <v>67</v>
      </c>
    </row>
    <row r="25" spans="1:8" ht="36" x14ac:dyDescent="0.35">
      <c r="A25" s="18">
        <v>45825</v>
      </c>
      <c r="B25" s="18" t="s">
        <v>9</v>
      </c>
      <c r="C25" s="19" t="s">
        <v>68</v>
      </c>
      <c r="D25" s="20">
        <v>0</v>
      </c>
      <c r="E25" s="20" t="s">
        <v>69</v>
      </c>
      <c r="F25" s="21" t="s">
        <v>69</v>
      </c>
      <c r="G25" s="22"/>
      <c r="H25" s="23"/>
    </row>
    <row r="26" spans="1:8" ht="36" x14ac:dyDescent="0.25">
      <c r="A26" s="9">
        <v>45832</v>
      </c>
      <c r="B26" s="10" t="s">
        <v>9</v>
      </c>
      <c r="C26" s="11" t="s">
        <v>70</v>
      </c>
      <c r="D26" s="10">
        <v>60</v>
      </c>
      <c r="E26" s="10" t="s">
        <v>23</v>
      </c>
      <c r="F26" s="12" t="s">
        <v>71</v>
      </c>
      <c r="G26" s="10" t="s">
        <v>55</v>
      </c>
      <c r="H26" s="11"/>
    </row>
    <row r="27" spans="1:8" ht="37.5" customHeight="1" x14ac:dyDescent="0.25">
      <c r="A27" s="9">
        <v>45832</v>
      </c>
      <c r="B27" s="10" t="s">
        <v>9</v>
      </c>
      <c r="C27" s="11" t="s">
        <v>72</v>
      </c>
      <c r="D27" s="10">
        <v>30</v>
      </c>
      <c r="E27" s="10" t="s">
        <v>69</v>
      </c>
      <c r="F27" s="12" t="s">
        <v>71</v>
      </c>
      <c r="G27" s="10" t="s">
        <v>73</v>
      </c>
      <c r="H27" s="11"/>
    </row>
    <row r="28" spans="1:8" ht="37.5" customHeight="1" x14ac:dyDescent="0.25">
      <c r="A28" s="9">
        <v>45847</v>
      </c>
      <c r="B28" s="10" t="s">
        <v>9</v>
      </c>
      <c r="C28" s="11" t="s">
        <v>74</v>
      </c>
      <c r="D28" s="10">
        <v>20</v>
      </c>
      <c r="E28" s="10" t="s">
        <v>75</v>
      </c>
      <c r="F28" s="12" t="s">
        <v>76</v>
      </c>
      <c r="G28" s="10" t="s">
        <v>77</v>
      </c>
      <c r="H28" s="11"/>
    </row>
    <row r="29" spans="1:8" ht="18" x14ac:dyDescent="0.35">
      <c r="A29" s="13">
        <v>45847</v>
      </c>
      <c r="B29" s="13" t="s">
        <v>9</v>
      </c>
      <c r="C29" s="14" t="s">
        <v>78</v>
      </c>
      <c r="D29" s="15">
        <v>20</v>
      </c>
      <c r="E29" s="15" t="s">
        <v>23</v>
      </c>
      <c r="F29" s="17"/>
      <c r="G29" s="17" t="s">
        <v>77</v>
      </c>
      <c r="H29" s="14" t="s">
        <v>79</v>
      </c>
    </row>
    <row r="30" spans="1:8" ht="36" x14ac:dyDescent="0.35">
      <c r="A30" s="2">
        <v>45847</v>
      </c>
      <c r="B30" s="2" t="s">
        <v>9</v>
      </c>
      <c r="C30" s="3" t="s">
        <v>80</v>
      </c>
      <c r="D30" s="4">
        <v>30</v>
      </c>
      <c r="E30" s="4" t="s">
        <v>81</v>
      </c>
      <c r="F30" s="5" t="s">
        <v>71</v>
      </c>
      <c r="G30" s="6" t="s">
        <v>77</v>
      </c>
      <c r="H30" s="8"/>
    </row>
    <row r="31" spans="1:8" ht="18" x14ac:dyDescent="0.25">
      <c r="A31" s="37">
        <v>45853</v>
      </c>
      <c r="B31" s="38" t="s">
        <v>9</v>
      </c>
      <c r="C31" s="39" t="s">
        <v>82</v>
      </c>
      <c r="D31" s="38">
        <v>30</v>
      </c>
      <c r="E31" s="38" t="s">
        <v>81</v>
      </c>
      <c r="F31" s="40" t="s">
        <v>34</v>
      </c>
      <c r="G31" s="40" t="s">
        <v>55</v>
      </c>
      <c r="H31" s="39" t="s">
        <v>83</v>
      </c>
    </row>
    <row r="32" spans="1:8" s="32" customFormat="1" ht="36" x14ac:dyDescent="0.25">
      <c r="A32" s="25">
        <v>45881</v>
      </c>
      <c r="B32" s="26" t="s">
        <v>84</v>
      </c>
      <c r="C32" s="27" t="s">
        <v>85</v>
      </c>
      <c r="D32" s="26">
        <v>75</v>
      </c>
      <c r="E32" s="26" t="s">
        <v>23</v>
      </c>
      <c r="F32" s="26" t="s">
        <v>86</v>
      </c>
      <c r="G32" s="48"/>
      <c r="H32" s="27"/>
    </row>
    <row r="33" spans="1:8" ht="36" x14ac:dyDescent="0.25">
      <c r="A33" s="60">
        <v>45888</v>
      </c>
      <c r="B33" s="25" t="s">
        <v>9</v>
      </c>
      <c r="C33" s="65" t="s">
        <v>87</v>
      </c>
      <c r="D33" s="26">
        <v>15</v>
      </c>
      <c r="E33" s="47" t="s">
        <v>88</v>
      </c>
      <c r="F33" s="47" t="s">
        <v>89</v>
      </c>
      <c r="G33" s="48" t="s">
        <v>90</v>
      </c>
      <c r="H33" s="47" t="s">
        <v>91</v>
      </c>
    </row>
    <row r="34" spans="1:8" s="32" customFormat="1" ht="18" x14ac:dyDescent="0.25">
      <c r="A34" s="25">
        <v>45895</v>
      </c>
      <c r="B34" s="26" t="s">
        <v>9</v>
      </c>
      <c r="C34" s="27" t="s">
        <v>92</v>
      </c>
      <c r="D34" s="26">
        <v>40</v>
      </c>
      <c r="E34" s="26" t="s">
        <v>93</v>
      </c>
      <c r="F34" s="26" t="s">
        <v>94</v>
      </c>
      <c r="G34" s="48" t="s">
        <v>55</v>
      </c>
      <c r="H34" s="27"/>
    </row>
    <row r="35" spans="1:8" ht="18" x14ac:dyDescent="0.25">
      <c r="A35" s="25">
        <v>45874</v>
      </c>
      <c r="B35" s="26" t="s">
        <v>9</v>
      </c>
      <c r="C35" s="27" t="s">
        <v>95</v>
      </c>
      <c r="D35" s="26">
        <v>30</v>
      </c>
      <c r="E35" s="26" t="s">
        <v>23</v>
      </c>
      <c r="F35" s="26" t="s">
        <v>96</v>
      </c>
      <c r="G35" s="48" t="s">
        <v>90</v>
      </c>
      <c r="H35" s="27" t="s">
        <v>97</v>
      </c>
    </row>
    <row r="36" spans="1:8" ht="18" x14ac:dyDescent="0.25">
      <c r="A36" s="25">
        <v>45874</v>
      </c>
      <c r="B36" s="26" t="s">
        <v>9</v>
      </c>
      <c r="C36" s="27" t="s">
        <v>98</v>
      </c>
      <c r="D36" s="26">
        <v>30</v>
      </c>
      <c r="E36" s="26" t="s">
        <v>23</v>
      </c>
      <c r="F36" s="26" t="s">
        <v>96</v>
      </c>
      <c r="G36" s="48" t="s">
        <v>90</v>
      </c>
      <c r="H36" s="27" t="s">
        <v>97</v>
      </c>
    </row>
    <row r="37" spans="1:8" ht="18" x14ac:dyDescent="0.25">
      <c r="A37" s="25">
        <v>45874</v>
      </c>
      <c r="B37" s="26" t="s">
        <v>9</v>
      </c>
      <c r="C37" s="27" t="s">
        <v>99</v>
      </c>
      <c r="D37" s="26">
        <v>60</v>
      </c>
      <c r="E37" s="26" t="s">
        <v>23</v>
      </c>
      <c r="F37" s="26" t="s">
        <v>64</v>
      </c>
      <c r="G37" s="48" t="s">
        <v>90</v>
      </c>
      <c r="H37" s="27"/>
    </row>
    <row r="38" spans="1:8" ht="18" x14ac:dyDescent="0.25">
      <c r="A38" s="41">
        <v>45855</v>
      </c>
      <c r="B38" s="42" t="s">
        <v>9</v>
      </c>
      <c r="C38" s="35" t="s">
        <v>100</v>
      </c>
      <c r="D38" s="43">
        <v>15</v>
      </c>
      <c r="E38" s="43" t="s">
        <v>81</v>
      </c>
      <c r="F38" s="44" t="s">
        <v>101</v>
      </c>
      <c r="G38" s="45" t="s">
        <v>102</v>
      </c>
      <c r="H38" s="46"/>
    </row>
    <row r="39" spans="1:8" ht="54" x14ac:dyDescent="0.25">
      <c r="A39" s="25" t="s">
        <v>103</v>
      </c>
      <c r="B39" s="26" t="s">
        <v>104</v>
      </c>
      <c r="C39" s="27" t="s">
        <v>105</v>
      </c>
      <c r="D39" s="26">
        <v>45</v>
      </c>
      <c r="E39" s="26" t="s">
        <v>69</v>
      </c>
      <c r="F39" s="47" t="s">
        <v>106</v>
      </c>
      <c r="G39" s="48" t="s">
        <v>107</v>
      </c>
      <c r="H39" s="27" t="s">
        <v>97</v>
      </c>
    </row>
    <row r="40" spans="1:8" s="32" customFormat="1" ht="36" x14ac:dyDescent="0.25">
      <c r="A40" s="49" t="s">
        <v>108</v>
      </c>
      <c r="B40" s="26" t="s">
        <v>9</v>
      </c>
      <c r="C40" s="27" t="s">
        <v>109</v>
      </c>
      <c r="D40" s="26">
        <v>30</v>
      </c>
      <c r="E40" s="26" t="s">
        <v>23</v>
      </c>
      <c r="F40" s="26" t="s">
        <v>86</v>
      </c>
      <c r="G40" s="36" t="s">
        <v>110</v>
      </c>
      <c r="H40" s="27" t="s">
        <v>111</v>
      </c>
    </row>
    <row r="41" spans="1:8" s="32" customFormat="1" ht="54" x14ac:dyDescent="0.25">
      <c r="A41" s="49" t="s">
        <v>108</v>
      </c>
      <c r="B41" s="26" t="s">
        <v>9</v>
      </c>
      <c r="C41" s="55" t="s">
        <v>112</v>
      </c>
      <c r="D41" s="56">
        <v>30</v>
      </c>
      <c r="E41" s="56" t="s">
        <v>23</v>
      </c>
      <c r="F41" s="56" t="s">
        <v>64</v>
      </c>
      <c r="G41" s="57" t="s">
        <v>90</v>
      </c>
      <c r="H41" s="55" t="s">
        <v>113</v>
      </c>
    </row>
    <row r="42" spans="1:8" s="32" customFormat="1" ht="36" x14ac:dyDescent="0.25">
      <c r="A42" s="49" t="s">
        <v>108</v>
      </c>
      <c r="B42" s="25" t="s">
        <v>9</v>
      </c>
      <c r="C42" s="27" t="s">
        <v>114</v>
      </c>
      <c r="D42" s="26">
        <v>30</v>
      </c>
      <c r="E42" s="26" t="s">
        <v>18</v>
      </c>
      <c r="F42" s="26" t="s">
        <v>115</v>
      </c>
      <c r="G42" s="48" t="s">
        <v>90</v>
      </c>
      <c r="H42" s="36" t="s">
        <v>116</v>
      </c>
    </row>
    <row r="43" spans="1:8" ht="32.25" customHeight="1" x14ac:dyDescent="0.25">
      <c r="A43" s="25">
        <v>45883</v>
      </c>
      <c r="B43" s="26" t="s">
        <v>9</v>
      </c>
      <c r="C43" s="27" t="s">
        <v>117</v>
      </c>
      <c r="D43" s="26">
        <v>20</v>
      </c>
      <c r="E43" s="26" t="s">
        <v>88</v>
      </c>
      <c r="F43" s="26" t="s">
        <v>118</v>
      </c>
      <c r="G43" s="48" t="s">
        <v>90</v>
      </c>
      <c r="H43" s="27" t="s">
        <v>119</v>
      </c>
    </row>
    <row r="44" spans="1:8" ht="32.25" customHeight="1" x14ac:dyDescent="0.25">
      <c r="A44" s="25" t="s">
        <v>103</v>
      </c>
      <c r="B44" s="26" t="s">
        <v>104</v>
      </c>
      <c r="C44" s="27" t="s">
        <v>120</v>
      </c>
      <c r="D44" s="26">
        <v>45</v>
      </c>
      <c r="E44" s="26" t="s">
        <v>23</v>
      </c>
      <c r="F44" s="26" t="s">
        <v>86</v>
      </c>
      <c r="G44" s="48" t="s">
        <v>90</v>
      </c>
      <c r="H44" s="27"/>
    </row>
    <row r="45" spans="1:8" ht="54" x14ac:dyDescent="0.25">
      <c r="A45" s="25" t="s">
        <v>84</v>
      </c>
      <c r="B45" s="26" t="s">
        <v>84</v>
      </c>
      <c r="C45" s="27" t="s">
        <v>121</v>
      </c>
      <c r="D45" s="26">
        <v>20</v>
      </c>
      <c r="E45" s="26" t="s">
        <v>34</v>
      </c>
      <c r="F45" s="26" t="s">
        <v>122</v>
      </c>
      <c r="G45" s="48" t="s">
        <v>55</v>
      </c>
      <c r="H45" s="27" t="s">
        <v>123</v>
      </c>
    </row>
    <row r="46" spans="1:8" ht="18" x14ac:dyDescent="0.25">
      <c r="A46" s="25" t="s">
        <v>84</v>
      </c>
      <c r="B46" s="25" t="s">
        <v>84</v>
      </c>
      <c r="C46" s="65" t="s">
        <v>124</v>
      </c>
      <c r="D46" s="26">
        <v>30</v>
      </c>
      <c r="E46" s="26" t="s">
        <v>125</v>
      </c>
      <c r="F46" s="26" t="s">
        <v>126</v>
      </c>
      <c r="G46" s="48" t="s">
        <v>127</v>
      </c>
      <c r="H46" s="27" t="s">
        <v>128</v>
      </c>
    </row>
    <row r="47" spans="1:8" ht="18" x14ac:dyDescent="0.25">
      <c r="A47" s="25">
        <v>45909</v>
      </c>
      <c r="B47" s="25" t="s">
        <v>9</v>
      </c>
      <c r="C47" s="65" t="s">
        <v>129</v>
      </c>
      <c r="D47" s="26">
        <v>30</v>
      </c>
      <c r="E47" s="26" t="s">
        <v>23</v>
      </c>
      <c r="F47" s="26" t="s">
        <v>86</v>
      </c>
      <c r="G47" s="48" t="s">
        <v>130</v>
      </c>
      <c r="H47" s="27"/>
    </row>
    <row r="48" spans="1:8" ht="36" x14ac:dyDescent="0.25">
      <c r="A48" s="25">
        <v>45916</v>
      </c>
      <c r="B48" s="26" t="s">
        <v>104</v>
      </c>
      <c r="C48" s="27" t="s">
        <v>131</v>
      </c>
      <c r="D48" s="26">
        <v>30</v>
      </c>
      <c r="E48" s="26" t="s">
        <v>23</v>
      </c>
      <c r="F48" s="26" t="s">
        <v>64</v>
      </c>
      <c r="G48" s="48" t="s">
        <v>90</v>
      </c>
      <c r="H48" s="27"/>
    </row>
    <row r="49" spans="1:8" ht="18" x14ac:dyDescent="0.25">
      <c r="A49" s="25">
        <v>45916</v>
      </c>
      <c r="B49" s="26" t="s">
        <v>104</v>
      </c>
      <c r="C49" s="27" t="s">
        <v>132</v>
      </c>
      <c r="D49" s="26">
        <v>60</v>
      </c>
      <c r="E49" s="26" t="s">
        <v>23</v>
      </c>
      <c r="F49" s="26" t="s">
        <v>47</v>
      </c>
      <c r="G49" s="48" t="s">
        <v>90</v>
      </c>
      <c r="H49" s="27"/>
    </row>
    <row r="50" spans="1:8" ht="36" x14ac:dyDescent="0.25">
      <c r="A50" s="25">
        <v>45923</v>
      </c>
      <c r="B50" s="26" t="s">
        <v>104</v>
      </c>
      <c r="C50" s="27" t="s">
        <v>133</v>
      </c>
      <c r="D50" s="26">
        <v>20</v>
      </c>
      <c r="E50" s="26" t="s">
        <v>69</v>
      </c>
      <c r="F50" s="26"/>
      <c r="G50" s="48"/>
      <c r="H50" s="27" t="s">
        <v>134</v>
      </c>
    </row>
    <row r="51" spans="1:8" ht="126" x14ac:dyDescent="0.25">
      <c r="A51" s="25">
        <v>45923</v>
      </c>
      <c r="B51" s="26" t="s">
        <v>104</v>
      </c>
      <c r="C51" s="27" t="s">
        <v>135</v>
      </c>
      <c r="D51" s="26">
        <v>20</v>
      </c>
      <c r="E51" s="26" t="s">
        <v>75</v>
      </c>
      <c r="F51" s="26" t="s">
        <v>47</v>
      </c>
      <c r="G51" s="48" t="s">
        <v>136</v>
      </c>
      <c r="H51" s="27" t="s">
        <v>137</v>
      </c>
    </row>
    <row r="52" spans="1:8" ht="108" x14ac:dyDescent="0.25">
      <c r="A52" s="25">
        <v>45923</v>
      </c>
      <c r="B52" s="26" t="s">
        <v>104</v>
      </c>
      <c r="C52" s="27" t="s">
        <v>138</v>
      </c>
      <c r="D52" s="26">
        <v>30</v>
      </c>
      <c r="E52" s="26" t="s">
        <v>75</v>
      </c>
      <c r="F52" s="26" t="s">
        <v>47</v>
      </c>
      <c r="G52" s="48" t="s">
        <v>139</v>
      </c>
      <c r="H52" s="27" t="s">
        <v>140</v>
      </c>
    </row>
    <row r="53" spans="1:8" ht="36" x14ac:dyDescent="0.25">
      <c r="A53" s="25">
        <v>45923</v>
      </c>
      <c r="B53" s="26" t="s">
        <v>104</v>
      </c>
      <c r="C53" s="27" t="s">
        <v>141</v>
      </c>
      <c r="D53" s="26">
        <v>30</v>
      </c>
      <c r="E53" s="26" t="s">
        <v>142</v>
      </c>
      <c r="F53" s="26" t="s">
        <v>47</v>
      </c>
      <c r="G53" s="48" t="s">
        <v>139</v>
      </c>
      <c r="H53" s="27" t="s">
        <v>134</v>
      </c>
    </row>
    <row r="54" spans="1:8" ht="36" x14ac:dyDescent="0.25">
      <c r="A54" s="25">
        <v>45930</v>
      </c>
      <c r="B54" s="26" t="s">
        <v>104</v>
      </c>
      <c r="C54" s="27" t="s">
        <v>135</v>
      </c>
      <c r="D54" s="26">
        <v>30</v>
      </c>
      <c r="E54" s="47" t="s">
        <v>75</v>
      </c>
      <c r="F54" s="47" t="s">
        <v>143</v>
      </c>
      <c r="G54" s="48" t="s">
        <v>144</v>
      </c>
      <c r="H54" s="27" t="s">
        <v>145</v>
      </c>
    </row>
    <row r="55" spans="1:8" ht="18" x14ac:dyDescent="0.25">
      <c r="A55" s="25">
        <v>45937</v>
      </c>
      <c r="B55" s="26" t="s">
        <v>104</v>
      </c>
      <c r="C55" s="27" t="s">
        <v>146</v>
      </c>
      <c r="D55" s="26">
        <v>30</v>
      </c>
      <c r="E55" s="26" t="s">
        <v>81</v>
      </c>
      <c r="F55" s="47" t="s">
        <v>147</v>
      </c>
      <c r="G55" s="48" t="s">
        <v>144</v>
      </c>
      <c r="H55" s="27" t="s">
        <v>148</v>
      </c>
    </row>
    <row r="56" spans="1:8" ht="36" x14ac:dyDescent="0.25">
      <c r="A56" s="25">
        <v>45930</v>
      </c>
      <c r="B56" s="26"/>
      <c r="C56" s="27" t="s">
        <v>149</v>
      </c>
      <c r="D56" s="26">
        <v>15</v>
      </c>
      <c r="E56" s="47" t="s">
        <v>81</v>
      </c>
      <c r="F56" s="26" t="s">
        <v>150</v>
      </c>
      <c r="G56" s="48" t="s">
        <v>151</v>
      </c>
      <c r="H56" s="27" t="s">
        <v>152</v>
      </c>
    </row>
    <row r="57" spans="1:8" ht="54" x14ac:dyDescent="0.25">
      <c r="A57" s="25">
        <v>45930</v>
      </c>
      <c r="B57" s="26"/>
      <c r="C57" s="27" t="s">
        <v>153</v>
      </c>
      <c r="D57" s="26">
        <v>20</v>
      </c>
      <c r="E57" s="47" t="s">
        <v>154</v>
      </c>
      <c r="F57" s="47" t="s">
        <v>155</v>
      </c>
      <c r="G57" s="48" t="s">
        <v>156</v>
      </c>
      <c r="H57" s="27" t="s">
        <v>157</v>
      </c>
    </row>
    <row r="58" spans="1:8" ht="18" x14ac:dyDescent="0.25">
      <c r="A58" s="25">
        <v>45937</v>
      </c>
      <c r="B58" s="26" t="s">
        <v>104</v>
      </c>
      <c r="C58" s="27" t="s">
        <v>158</v>
      </c>
      <c r="D58" s="26">
        <v>30</v>
      </c>
      <c r="E58" s="47" t="s">
        <v>159</v>
      </c>
      <c r="F58" s="47"/>
      <c r="G58" s="48" t="s">
        <v>144</v>
      </c>
      <c r="H58" s="27"/>
    </row>
    <row r="59" spans="1:8" ht="36" x14ac:dyDescent="0.25">
      <c r="A59" s="25">
        <v>45937</v>
      </c>
      <c r="B59" s="26" t="s">
        <v>104</v>
      </c>
      <c r="C59" s="27" t="s">
        <v>160</v>
      </c>
      <c r="D59" s="26">
        <v>30</v>
      </c>
      <c r="E59" s="47" t="s">
        <v>75</v>
      </c>
      <c r="F59" s="47"/>
      <c r="G59" s="48"/>
      <c r="H59" s="27"/>
    </row>
    <row r="60" spans="1:8" ht="36" x14ac:dyDescent="0.25">
      <c r="A60" s="25">
        <v>45944</v>
      </c>
      <c r="B60" s="26" t="s">
        <v>104</v>
      </c>
      <c r="C60" s="27" t="s">
        <v>161</v>
      </c>
      <c r="D60" s="26">
        <v>30</v>
      </c>
      <c r="E60" s="47" t="s">
        <v>75</v>
      </c>
      <c r="F60" s="47" t="s">
        <v>162</v>
      </c>
      <c r="G60" s="48" t="s">
        <v>163</v>
      </c>
      <c r="H60" s="27"/>
    </row>
    <row r="61" spans="1:8" ht="36" x14ac:dyDescent="0.25">
      <c r="A61" s="25">
        <v>45944</v>
      </c>
      <c r="B61" s="26" t="s">
        <v>104</v>
      </c>
      <c r="C61" s="27" t="s">
        <v>164</v>
      </c>
      <c r="D61" s="26">
        <v>30</v>
      </c>
      <c r="E61" s="47" t="s">
        <v>142</v>
      </c>
      <c r="F61" s="47" t="s">
        <v>165</v>
      </c>
      <c r="G61" s="48" t="s">
        <v>90</v>
      </c>
      <c r="H61" s="27"/>
    </row>
    <row r="62" spans="1:8" ht="18" x14ac:dyDescent="0.25">
      <c r="A62" s="25">
        <v>45951</v>
      </c>
      <c r="B62" s="26" t="s">
        <v>104</v>
      </c>
      <c r="C62" s="27" t="s">
        <v>166</v>
      </c>
      <c r="D62" s="26" t="s">
        <v>167</v>
      </c>
      <c r="E62" s="47" t="s">
        <v>81</v>
      </c>
      <c r="F62" s="47" t="s">
        <v>168</v>
      </c>
      <c r="G62" s="48"/>
      <c r="H62" s="27" t="s">
        <v>169</v>
      </c>
    </row>
    <row r="63" spans="1:8" ht="36" x14ac:dyDescent="0.25">
      <c r="A63" s="25">
        <v>45951</v>
      </c>
      <c r="B63" s="26" t="s">
        <v>104</v>
      </c>
      <c r="C63" s="27" t="s">
        <v>170</v>
      </c>
      <c r="D63" s="26">
        <v>10</v>
      </c>
      <c r="E63" s="47" t="s">
        <v>171</v>
      </c>
      <c r="F63" s="47" t="s">
        <v>172</v>
      </c>
      <c r="G63" s="48"/>
      <c r="H63" s="27"/>
    </row>
    <row r="64" spans="1:8" ht="36" x14ac:dyDescent="0.25">
      <c r="A64" s="25">
        <v>45958</v>
      </c>
      <c r="B64" s="26" t="s">
        <v>104</v>
      </c>
      <c r="C64" s="27" t="s">
        <v>164</v>
      </c>
      <c r="D64" s="26">
        <v>15</v>
      </c>
      <c r="E64" s="47" t="s">
        <v>142</v>
      </c>
      <c r="F64" s="47" t="s">
        <v>165</v>
      </c>
      <c r="G64" s="48" t="s">
        <v>173</v>
      </c>
      <c r="H64" s="27"/>
    </row>
    <row r="65" spans="1:8" ht="36" x14ac:dyDescent="0.25">
      <c r="A65" s="25">
        <v>45951</v>
      </c>
      <c r="B65" s="26" t="s">
        <v>174</v>
      </c>
      <c r="C65" s="27" t="s">
        <v>175</v>
      </c>
      <c r="D65" s="26">
        <v>30</v>
      </c>
      <c r="E65" s="47" t="s">
        <v>75</v>
      </c>
      <c r="F65" s="47" t="s">
        <v>176</v>
      </c>
      <c r="G65" s="48" t="s">
        <v>90</v>
      </c>
      <c r="H65" s="27"/>
    </row>
    <row r="66" spans="1:8" ht="18" x14ac:dyDescent="0.25">
      <c r="A66" s="25">
        <v>45951</v>
      </c>
      <c r="B66" s="26" t="s">
        <v>104</v>
      </c>
      <c r="C66" s="27" t="s">
        <v>177</v>
      </c>
      <c r="D66" s="26">
        <v>30</v>
      </c>
      <c r="E66" s="47" t="s">
        <v>18</v>
      </c>
      <c r="F66" s="47" t="s">
        <v>64</v>
      </c>
      <c r="G66" s="48" t="s">
        <v>90</v>
      </c>
      <c r="H66" s="27"/>
    </row>
    <row r="67" spans="1:8" ht="36" x14ac:dyDescent="0.25">
      <c r="A67" s="25">
        <v>45951</v>
      </c>
      <c r="B67" s="26" t="s">
        <v>104</v>
      </c>
      <c r="C67" s="27" t="s">
        <v>178</v>
      </c>
      <c r="D67" s="26">
        <v>30</v>
      </c>
      <c r="E67" s="47" t="s">
        <v>69</v>
      </c>
      <c r="F67" s="47"/>
      <c r="G67" s="48"/>
      <c r="H67" s="27"/>
    </row>
    <row r="68" spans="1:8" ht="18" x14ac:dyDescent="0.25">
      <c r="A68" s="25">
        <v>45958</v>
      </c>
      <c r="B68" s="26" t="s">
        <v>104</v>
      </c>
      <c r="C68" s="27" t="s">
        <v>166</v>
      </c>
      <c r="D68" s="26">
        <v>25</v>
      </c>
      <c r="E68" s="47" t="s">
        <v>81</v>
      </c>
      <c r="F68" s="47" t="s">
        <v>179</v>
      </c>
      <c r="G68" s="48" t="s">
        <v>180</v>
      </c>
      <c r="H68" s="27"/>
    </row>
    <row r="69" spans="1:8" ht="18" x14ac:dyDescent="0.25">
      <c r="A69" s="25">
        <v>45951</v>
      </c>
      <c r="B69" s="26" t="s">
        <v>104</v>
      </c>
      <c r="C69" s="27" t="s">
        <v>181</v>
      </c>
      <c r="D69" s="26" t="s">
        <v>167</v>
      </c>
      <c r="E69" s="47" t="s">
        <v>159</v>
      </c>
      <c r="F69" s="47" t="s">
        <v>182</v>
      </c>
      <c r="G69" s="48" t="s">
        <v>90</v>
      </c>
      <c r="H69" s="27"/>
    </row>
    <row r="70" spans="1:8" ht="36" x14ac:dyDescent="0.25">
      <c r="A70" s="25">
        <v>45958</v>
      </c>
      <c r="B70" s="26" t="s">
        <v>104</v>
      </c>
      <c r="C70" s="27" t="s">
        <v>183</v>
      </c>
      <c r="D70" s="26">
        <v>25</v>
      </c>
      <c r="E70" s="47" t="s">
        <v>159</v>
      </c>
      <c r="F70" s="47" t="s">
        <v>184</v>
      </c>
      <c r="G70" s="48" t="s">
        <v>185</v>
      </c>
      <c r="H70" s="27"/>
    </row>
    <row r="71" spans="1:8" ht="36" x14ac:dyDescent="0.25">
      <c r="A71" s="69">
        <v>45958</v>
      </c>
      <c r="B71" s="70" t="s">
        <v>104</v>
      </c>
      <c r="C71" s="71" t="s">
        <v>175</v>
      </c>
      <c r="D71" s="70">
        <v>25</v>
      </c>
      <c r="E71" s="72" t="s">
        <v>75</v>
      </c>
      <c r="F71" s="72" t="s">
        <v>186</v>
      </c>
      <c r="G71" s="73" t="s">
        <v>173</v>
      </c>
      <c r="H71" s="27"/>
    </row>
    <row r="72" spans="1:8" ht="36" x14ac:dyDescent="0.25">
      <c r="A72" s="24">
        <v>45965</v>
      </c>
      <c r="B72" s="16" t="s">
        <v>187</v>
      </c>
      <c r="C72" s="28" t="s">
        <v>188</v>
      </c>
      <c r="D72" s="16">
        <v>25</v>
      </c>
      <c r="E72" s="61" t="s">
        <v>75</v>
      </c>
      <c r="F72" s="61" t="s">
        <v>189</v>
      </c>
      <c r="G72" s="31" t="s">
        <v>190</v>
      </c>
      <c r="H72" s="29"/>
    </row>
    <row r="73" spans="1:8" ht="36" x14ac:dyDescent="0.25">
      <c r="A73" s="24">
        <v>45965</v>
      </c>
      <c r="B73" s="16" t="s">
        <v>187</v>
      </c>
      <c r="C73" s="28" t="s">
        <v>191</v>
      </c>
      <c r="D73" s="16">
        <v>25</v>
      </c>
      <c r="E73" s="61" t="s">
        <v>75</v>
      </c>
      <c r="F73" s="61" t="s">
        <v>192</v>
      </c>
      <c r="G73" s="31" t="s">
        <v>193</v>
      </c>
      <c r="H73" s="29"/>
    </row>
    <row r="74" spans="1:8" ht="36" x14ac:dyDescent="0.25">
      <c r="A74" s="24">
        <v>45972</v>
      </c>
      <c r="B74" s="16" t="s">
        <v>104</v>
      </c>
      <c r="C74" s="28" t="s">
        <v>194</v>
      </c>
      <c r="D74" s="16">
        <v>30</v>
      </c>
      <c r="E74" s="61" t="s">
        <v>81</v>
      </c>
      <c r="F74" s="61" t="s">
        <v>81</v>
      </c>
      <c r="G74" s="31" t="s">
        <v>190</v>
      </c>
      <c r="H74" s="29" t="s">
        <v>195</v>
      </c>
    </row>
    <row r="75" spans="1:8" ht="36" x14ac:dyDescent="0.25">
      <c r="A75" s="62">
        <v>45965</v>
      </c>
      <c r="B75" s="63" t="s">
        <v>187</v>
      </c>
      <c r="C75" s="74" t="s">
        <v>196</v>
      </c>
      <c r="D75" s="63">
        <v>40</v>
      </c>
      <c r="E75" s="64" t="s">
        <v>197</v>
      </c>
      <c r="F75" s="64" t="s">
        <v>198</v>
      </c>
      <c r="G75" s="75" t="s">
        <v>190</v>
      </c>
      <c r="H75" s="29"/>
    </row>
    <row r="76" spans="1:8" ht="18" x14ac:dyDescent="0.25">
      <c r="A76" s="76">
        <v>45972</v>
      </c>
      <c r="B76" s="77" t="s">
        <v>104</v>
      </c>
      <c r="C76" s="78" t="s">
        <v>199</v>
      </c>
      <c r="D76" s="77">
        <v>0</v>
      </c>
      <c r="E76" s="79" t="s">
        <v>81</v>
      </c>
      <c r="F76" s="79" t="s">
        <v>200</v>
      </c>
      <c r="G76" s="80"/>
      <c r="H76" s="29"/>
    </row>
    <row r="77" spans="1:8" ht="36" x14ac:dyDescent="0.25">
      <c r="A77" s="24">
        <v>45972</v>
      </c>
      <c r="B77" s="16" t="s">
        <v>104</v>
      </c>
      <c r="C77" s="28" t="s">
        <v>201</v>
      </c>
      <c r="D77" s="16">
        <v>20</v>
      </c>
      <c r="E77" s="61" t="s">
        <v>69</v>
      </c>
      <c r="F77" s="61" t="s">
        <v>202</v>
      </c>
      <c r="G77" s="31"/>
      <c r="H77" s="29"/>
    </row>
    <row r="78" spans="1:8" ht="18" x14ac:dyDescent="0.25">
      <c r="A78" s="62">
        <v>45972</v>
      </c>
      <c r="B78" s="63" t="s">
        <v>104</v>
      </c>
      <c r="C78" s="74" t="s">
        <v>203</v>
      </c>
      <c r="D78" s="63">
        <v>40</v>
      </c>
      <c r="E78" s="64" t="s">
        <v>93</v>
      </c>
      <c r="F78" s="64"/>
      <c r="G78" s="75"/>
      <c r="H78" s="29"/>
    </row>
    <row r="79" spans="1:8" ht="18" x14ac:dyDescent="0.25">
      <c r="A79" s="24">
        <v>45979</v>
      </c>
      <c r="B79" s="16" t="s">
        <v>104</v>
      </c>
      <c r="C79" s="28" t="s">
        <v>204</v>
      </c>
      <c r="D79" s="16">
        <v>0</v>
      </c>
      <c r="E79" s="61" t="s">
        <v>18</v>
      </c>
      <c r="F79" s="61" t="s">
        <v>205</v>
      </c>
      <c r="G79" s="81" t="s">
        <v>205</v>
      </c>
      <c r="H79" s="28"/>
    </row>
    <row r="80" spans="1:8" ht="36" x14ac:dyDescent="0.25">
      <c r="A80" s="24">
        <v>45986</v>
      </c>
      <c r="B80" s="16" t="s">
        <v>104</v>
      </c>
      <c r="C80" s="28" t="s">
        <v>206</v>
      </c>
      <c r="D80" s="16">
        <v>30</v>
      </c>
      <c r="E80" s="61" t="s">
        <v>207</v>
      </c>
      <c r="F80" s="61" t="s">
        <v>207</v>
      </c>
      <c r="G80" s="81" t="s">
        <v>208</v>
      </c>
      <c r="H80" s="28"/>
    </row>
    <row r="81" spans="1:8" ht="36" x14ac:dyDescent="0.25">
      <c r="A81" s="62">
        <v>45979</v>
      </c>
      <c r="B81" s="63" t="s">
        <v>104</v>
      </c>
      <c r="C81" s="74" t="s">
        <v>209</v>
      </c>
      <c r="D81" s="63">
        <v>30</v>
      </c>
      <c r="E81" s="82" t="s">
        <v>142</v>
      </c>
      <c r="F81" s="64" t="s">
        <v>142</v>
      </c>
      <c r="G81" s="83" t="s">
        <v>210</v>
      </c>
      <c r="H81" s="74"/>
    </row>
    <row r="82" spans="1:8" ht="18" x14ac:dyDescent="0.25">
      <c r="A82" s="24">
        <v>45993</v>
      </c>
      <c r="B82" s="16" t="s">
        <v>9</v>
      </c>
      <c r="C82" s="28" t="s">
        <v>211</v>
      </c>
      <c r="D82" s="16">
        <v>30</v>
      </c>
      <c r="E82" s="61" t="s">
        <v>69</v>
      </c>
      <c r="F82" s="61"/>
      <c r="G82" s="31"/>
      <c r="H82" s="28"/>
    </row>
    <row r="83" spans="1:8" ht="36" x14ac:dyDescent="0.25">
      <c r="A83" s="24" t="s">
        <v>84</v>
      </c>
      <c r="B83" s="16" t="s">
        <v>212</v>
      </c>
      <c r="C83" s="28" t="s">
        <v>213</v>
      </c>
      <c r="D83" s="16">
        <v>15</v>
      </c>
      <c r="E83" s="61" t="s">
        <v>159</v>
      </c>
      <c r="F83" s="61" t="s">
        <v>214</v>
      </c>
      <c r="G83" s="30" t="s">
        <v>215</v>
      </c>
      <c r="H83" s="28"/>
    </row>
    <row r="84" spans="1:8" ht="18" x14ac:dyDescent="0.25">
      <c r="A84" s="24">
        <v>46007</v>
      </c>
      <c r="B84" s="16" t="s">
        <v>104</v>
      </c>
      <c r="C84" s="28" t="s">
        <v>216</v>
      </c>
      <c r="D84" s="16">
        <v>30</v>
      </c>
      <c r="E84" s="61" t="s">
        <v>217</v>
      </c>
      <c r="F84" s="61" t="s">
        <v>218</v>
      </c>
      <c r="G84" s="31"/>
      <c r="H84" s="28"/>
    </row>
    <row r="85" spans="1:8" ht="18" x14ac:dyDescent="0.25">
      <c r="A85" s="24">
        <v>46000</v>
      </c>
      <c r="B85" s="16" t="s">
        <v>187</v>
      </c>
      <c r="C85" s="28" t="s">
        <v>219</v>
      </c>
      <c r="D85" s="16">
        <v>30</v>
      </c>
      <c r="E85" s="61" t="s">
        <v>81</v>
      </c>
      <c r="F85" s="61"/>
      <c r="G85" s="31"/>
      <c r="H85" s="28"/>
    </row>
    <row r="86" spans="1:8" ht="18" x14ac:dyDescent="0.25">
      <c r="A86" s="24">
        <v>46028</v>
      </c>
      <c r="B86" s="16" t="s">
        <v>104</v>
      </c>
      <c r="C86" s="28" t="s">
        <v>220</v>
      </c>
      <c r="D86" s="16">
        <v>30</v>
      </c>
      <c r="E86" s="61" t="s">
        <v>81</v>
      </c>
      <c r="F86" s="61" t="s">
        <v>221</v>
      </c>
      <c r="G86" s="31"/>
      <c r="H86" s="28"/>
    </row>
    <row r="87" spans="1:8" ht="18" x14ac:dyDescent="0.25">
      <c r="A87" s="24">
        <v>46000</v>
      </c>
      <c r="B87" s="16" t="s">
        <v>187</v>
      </c>
      <c r="C87" s="28" t="s">
        <v>222</v>
      </c>
      <c r="D87" s="16">
        <v>15</v>
      </c>
      <c r="E87" s="61" t="s">
        <v>81</v>
      </c>
      <c r="F87" s="61"/>
      <c r="G87" s="31"/>
      <c r="H87" s="28"/>
    </row>
    <row r="88" spans="1:8" ht="18" x14ac:dyDescent="0.25">
      <c r="A88" s="24">
        <v>46000</v>
      </c>
      <c r="B88" s="16" t="s">
        <v>187</v>
      </c>
      <c r="C88" s="28" t="s">
        <v>223</v>
      </c>
      <c r="D88" s="16">
        <v>10</v>
      </c>
      <c r="E88" s="61" t="s">
        <v>93</v>
      </c>
      <c r="F88" s="61"/>
      <c r="G88" s="84" t="s">
        <v>208</v>
      </c>
      <c r="H88" s="28"/>
    </row>
    <row r="89" spans="1:8" ht="36" x14ac:dyDescent="0.25">
      <c r="A89" s="24">
        <v>46007</v>
      </c>
      <c r="B89" s="16" t="s">
        <v>104</v>
      </c>
      <c r="C89" s="28" t="s">
        <v>224</v>
      </c>
      <c r="D89" s="16">
        <v>60</v>
      </c>
      <c r="E89" s="61" t="s">
        <v>142</v>
      </c>
      <c r="F89" s="61" t="s">
        <v>225</v>
      </c>
      <c r="G89" s="81" t="s">
        <v>208</v>
      </c>
      <c r="H89" s="28"/>
    </row>
    <row r="90" spans="1:8" ht="18" x14ac:dyDescent="0.25">
      <c r="A90" s="24">
        <v>45663</v>
      </c>
      <c r="B90" s="16" t="s">
        <v>104</v>
      </c>
      <c r="C90" s="28" t="s">
        <v>226</v>
      </c>
      <c r="D90" s="16">
        <v>30</v>
      </c>
      <c r="E90" s="61" t="s">
        <v>81</v>
      </c>
      <c r="F90" s="61"/>
      <c r="G90" s="31"/>
      <c r="H90" s="28" t="s">
        <v>227</v>
      </c>
    </row>
    <row r="91" spans="1:8" ht="18" x14ac:dyDescent="0.25">
      <c r="A91" s="85">
        <v>46007</v>
      </c>
      <c r="B91" s="34" t="s">
        <v>104</v>
      </c>
      <c r="C91" s="29" t="s">
        <v>228</v>
      </c>
      <c r="D91" s="34">
        <v>60</v>
      </c>
      <c r="E91" s="68" t="s">
        <v>93</v>
      </c>
      <c r="F91" s="68"/>
      <c r="G91" s="58"/>
      <c r="H91" s="29"/>
    </row>
    <row r="92" spans="1:8" ht="18" x14ac:dyDescent="0.25">
      <c r="A92" s="85"/>
      <c r="B92" s="34"/>
      <c r="C92" s="29"/>
      <c r="D92" s="34"/>
      <c r="E92" s="68"/>
      <c r="F92" s="68"/>
      <c r="G92" s="58"/>
      <c r="H92" s="29"/>
    </row>
    <row r="93" spans="1:8" ht="18" x14ac:dyDescent="0.25">
      <c r="A93" s="34"/>
      <c r="B93" s="34"/>
      <c r="C93" s="29"/>
      <c r="D93" s="34"/>
      <c r="E93" s="68"/>
      <c r="F93" s="68"/>
      <c r="G93" s="58"/>
      <c r="H93" s="29"/>
    </row>
    <row r="94" spans="1:8" ht="18" x14ac:dyDescent="0.25">
      <c r="A94" s="34"/>
      <c r="B94" s="34"/>
      <c r="C94" s="29"/>
      <c r="D94" s="34"/>
      <c r="E94" s="68"/>
      <c r="F94" s="68"/>
      <c r="G94" s="58"/>
      <c r="H94" s="29"/>
    </row>
    <row r="95" spans="1:8" ht="18" x14ac:dyDescent="0.25">
      <c r="A95" s="34"/>
      <c r="B95" s="34"/>
      <c r="C95" s="29"/>
      <c r="D95" s="34"/>
      <c r="E95" s="68"/>
      <c r="F95" s="68"/>
      <c r="G95" s="58"/>
      <c r="H95" s="29"/>
    </row>
    <row r="96" spans="1:8" ht="18" x14ac:dyDescent="0.25">
      <c r="A96" s="34"/>
      <c r="B96" s="34"/>
      <c r="C96" s="29"/>
      <c r="D96" s="34"/>
      <c r="E96" s="68"/>
      <c r="F96" s="68"/>
      <c r="G96" s="58"/>
      <c r="H96" s="29"/>
    </row>
    <row r="97" spans="1:8" ht="18" x14ac:dyDescent="0.25">
      <c r="A97" s="34"/>
      <c r="B97" s="34"/>
      <c r="C97" s="29"/>
      <c r="D97" s="34"/>
      <c r="E97" s="68"/>
      <c r="F97" s="68"/>
      <c r="G97" s="58"/>
      <c r="H97" s="29"/>
    </row>
    <row r="98" spans="1:8" ht="18" x14ac:dyDescent="0.25">
      <c r="A98" s="34"/>
      <c r="B98" s="34"/>
      <c r="C98" s="29"/>
      <c r="D98" s="34"/>
      <c r="E98" s="68"/>
      <c r="F98" s="68"/>
      <c r="G98" s="58"/>
      <c r="H98" s="29"/>
    </row>
    <row r="99" spans="1:8" ht="18" x14ac:dyDescent="0.25">
      <c r="A99" s="34"/>
      <c r="B99" s="34"/>
      <c r="C99" s="29"/>
      <c r="D99" s="34"/>
      <c r="E99" s="68"/>
      <c r="F99" s="68"/>
      <c r="G99" s="58"/>
      <c r="H99" s="29"/>
    </row>
    <row r="100" spans="1:8" ht="18" x14ac:dyDescent="0.25">
      <c r="A100" s="34"/>
      <c r="B100" s="34"/>
      <c r="C100" s="29"/>
      <c r="D100" s="34"/>
      <c r="E100" s="68"/>
      <c r="F100" s="68"/>
      <c r="G100" s="58"/>
      <c r="H100" s="29"/>
    </row>
    <row r="101" spans="1:8" ht="18" x14ac:dyDescent="0.25">
      <c r="A101" s="34"/>
      <c r="B101" s="34"/>
      <c r="C101" s="29"/>
      <c r="D101" s="34"/>
      <c r="E101" s="68"/>
      <c r="F101" s="68"/>
      <c r="G101" s="58"/>
      <c r="H101" s="29"/>
    </row>
    <row r="102" spans="1:8" ht="18" x14ac:dyDescent="0.25">
      <c r="A102" s="34"/>
      <c r="B102" s="34"/>
      <c r="C102" s="29"/>
      <c r="D102" s="34"/>
      <c r="E102" s="68"/>
      <c r="F102" s="68"/>
      <c r="G102" s="58"/>
      <c r="H102" s="29"/>
    </row>
    <row r="103" spans="1:8" ht="18" x14ac:dyDescent="0.25">
      <c r="A103" s="34"/>
      <c r="B103" s="34"/>
      <c r="C103" s="29"/>
      <c r="D103" s="34"/>
      <c r="E103" s="68"/>
      <c r="F103" s="68"/>
      <c r="G103" s="58"/>
      <c r="H103" s="29"/>
    </row>
    <row r="104" spans="1:8" ht="18" x14ac:dyDescent="0.25">
      <c r="A104" s="34"/>
      <c r="B104" s="34"/>
      <c r="C104" s="29"/>
      <c r="D104" s="34"/>
      <c r="E104" s="68"/>
      <c r="F104" s="68"/>
      <c r="G104" s="58"/>
      <c r="H104" s="29"/>
    </row>
    <row r="105" spans="1:8" ht="18" x14ac:dyDescent="0.25">
      <c r="A105" s="34"/>
      <c r="B105" s="34"/>
      <c r="C105" s="29"/>
      <c r="D105" s="34"/>
      <c r="E105" s="68"/>
      <c r="F105" s="68"/>
      <c r="G105" s="58"/>
      <c r="H105" s="29"/>
    </row>
    <row r="106" spans="1:8" ht="18" x14ac:dyDescent="0.25">
      <c r="A106" s="34"/>
      <c r="B106" s="34"/>
      <c r="C106" s="29"/>
      <c r="D106" s="34"/>
      <c r="E106" s="68"/>
      <c r="F106" s="68"/>
      <c r="G106" s="58"/>
      <c r="H106" s="29"/>
    </row>
    <row r="107" spans="1:8" ht="18" x14ac:dyDescent="0.25">
      <c r="A107" s="34"/>
      <c r="B107" s="34"/>
      <c r="C107" s="29"/>
      <c r="D107" s="34"/>
      <c r="E107" s="68"/>
      <c r="F107" s="68"/>
      <c r="G107" s="58"/>
      <c r="H107" s="29"/>
    </row>
    <row r="108" spans="1:8" ht="18" x14ac:dyDescent="0.25">
      <c r="A108" s="34"/>
      <c r="B108" s="34"/>
      <c r="C108" s="29"/>
      <c r="D108" s="34"/>
      <c r="E108" s="68"/>
      <c r="F108" s="68"/>
      <c r="G108" s="58"/>
      <c r="H108" s="29"/>
    </row>
    <row r="109" spans="1:8" ht="18" x14ac:dyDescent="0.25">
      <c r="A109" s="34"/>
      <c r="B109" s="34"/>
      <c r="C109" s="29"/>
      <c r="D109" s="34"/>
      <c r="E109" s="68"/>
      <c r="F109" s="68"/>
      <c r="G109" s="58"/>
      <c r="H109" s="29"/>
    </row>
    <row r="110" spans="1:8" ht="18" x14ac:dyDescent="0.25">
      <c r="A110" s="34"/>
      <c r="B110" s="34"/>
      <c r="C110" s="29"/>
      <c r="D110" s="34"/>
      <c r="E110" s="68"/>
      <c r="F110" s="68"/>
      <c r="G110" s="58"/>
      <c r="H110" s="29"/>
    </row>
    <row r="111" spans="1:8" ht="18" x14ac:dyDescent="0.25">
      <c r="A111" s="34"/>
      <c r="B111" s="34"/>
      <c r="C111" s="29"/>
      <c r="D111" s="34"/>
      <c r="E111" s="68"/>
      <c r="F111" s="68"/>
      <c r="G111" s="58"/>
      <c r="H111" s="29"/>
    </row>
    <row r="112" spans="1:8" ht="18" x14ac:dyDescent="0.25">
      <c r="A112" s="34"/>
      <c r="B112" s="34"/>
      <c r="C112" s="29"/>
      <c r="D112" s="34"/>
      <c r="E112" s="68"/>
      <c r="F112" s="68"/>
      <c r="G112" s="58"/>
      <c r="H112" s="29"/>
    </row>
    <row r="113" spans="1:8" ht="18" x14ac:dyDescent="0.25">
      <c r="A113" s="34"/>
      <c r="B113" s="34"/>
      <c r="C113" s="29"/>
      <c r="D113" s="34"/>
      <c r="E113" s="68"/>
      <c r="F113" s="68"/>
      <c r="G113" s="58"/>
      <c r="H113" s="29"/>
    </row>
    <row r="114" spans="1:8" ht="18" x14ac:dyDescent="0.25">
      <c r="A114" s="34"/>
      <c r="B114" s="34"/>
      <c r="C114" s="29"/>
      <c r="D114" s="34"/>
      <c r="E114" s="68"/>
      <c r="F114" s="68"/>
      <c r="G114" s="58"/>
      <c r="H114" s="29"/>
    </row>
    <row r="115" spans="1:8" ht="18" x14ac:dyDescent="0.25">
      <c r="A115" s="34"/>
      <c r="B115" s="34"/>
      <c r="C115" s="29"/>
      <c r="D115" s="34"/>
      <c r="E115" s="68"/>
      <c r="F115" s="68"/>
      <c r="G115" s="58"/>
      <c r="H115" s="29"/>
    </row>
    <row r="116" spans="1:8" ht="18" x14ac:dyDescent="0.25">
      <c r="A116" s="34"/>
      <c r="B116" s="34"/>
      <c r="C116" s="29"/>
      <c r="D116" s="34"/>
      <c r="E116" s="68"/>
      <c r="F116" s="68"/>
      <c r="G116" s="58"/>
      <c r="H116" s="29"/>
    </row>
    <row r="117" spans="1:8" ht="18" x14ac:dyDescent="0.25">
      <c r="A117" s="34"/>
      <c r="B117" s="34"/>
      <c r="C117" s="29"/>
      <c r="D117" s="34"/>
      <c r="E117" s="68"/>
      <c r="F117" s="68"/>
      <c r="G117" s="58"/>
      <c r="H117" s="29"/>
    </row>
    <row r="118" spans="1:8" ht="18" x14ac:dyDescent="0.25">
      <c r="A118" s="34"/>
      <c r="B118" s="34"/>
      <c r="C118" s="29"/>
      <c r="D118" s="34"/>
      <c r="E118" s="68"/>
      <c r="F118" s="68"/>
      <c r="G118" s="58"/>
      <c r="H118" s="29"/>
    </row>
    <row r="119" spans="1:8" ht="18" x14ac:dyDescent="0.25">
      <c r="A119" s="34"/>
      <c r="B119" s="34"/>
      <c r="C119" s="29"/>
      <c r="D119" s="34"/>
      <c r="E119" s="68"/>
      <c r="F119" s="68"/>
      <c r="G119" s="58"/>
      <c r="H119" s="29"/>
    </row>
    <row r="120" spans="1:8" ht="18" x14ac:dyDescent="0.25">
      <c r="A120" s="34"/>
      <c r="B120" s="34"/>
      <c r="C120" s="29"/>
      <c r="D120" s="34"/>
      <c r="E120" s="68"/>
      <c r="F120" s="68"/>
      <c r="G120" s="58"/>
      <c r="H120" s="29"/>
    </row>
    <row r="121" spans="1:8" ht="18" x14ac:dyDescent="0.25">
      <c r="A121" s="34"/>
      <c r="B121" s="34"/>
      <c r="C121" s="29"/>
      <c r="D121" s="34"/>
      <c r="E121" s="68"/>
      <c r="F121" s="68"/>
      <c r="G121" s="58"/>
      <c r="H121" s="29"/>
    </row>
    <row r="122" spans="1:8" ht="18" x14ac:dyDescent="0.25">
      <c r="A122" s="34"/>
      <c r="B122" s="34"/>
      <c r="C122" s="29"/>
      <c r="D122" s="34"/>
      <c r="E122" s="68"/>
      <c r="F122" s="68"/>
      <c r="G122" s="58"/>
      <c r="H122" s="29"/>
    </row>
    <row r="123" spans="1:8" ht="18" x14ac:dyDescent="0.25">
      <c r="A123" s="34"/>
      <c r="B123" s="34"/>
      <c r="C123" s="29"/>
      <c r="D123" s="34"/>
      <c r="E123" s="68"/>
      <c r="F123" s="68"/>
      <c r="G123" s="58"/>
      <c r="H123" s="29"/>
    </row>
    <row r="124" spans="1:8" ht="18" x14ac:dyDescent="0.25">
      <c r="A124" s="34"/>
      <c r="B124" s="34"/>
      <c r="C124" s="29"/>
      <c r="D124" s="34"/>
      <c r="E124" s="68"/>
      <c r="F124" s="68"/>
      <c r="G124" s="58"/>
      <c r="H124" s="29"/>
    </row>
    <row r="125" spans="1:8" ht="18" x14ac:dyDescent="0.25">
      <c r="A125" s="34"/>
      <c r="B125" s="34"/>
      <c r="C125" s="29"/>
      <c r="D125" s="34"/>
      <c r="E125" s="68"/>
      <c r="F125" s="68"/>
      <c r="G125" s="58"/>
      <c r="H125" s="29"/>
    </row>
    <row r="126" spans="1:8" ht="18" x14ac:dyDescent="0.25">
      <c r="A126" s="34"/>
      <c r="B126" s="34"/>
      <c r="C126" s="29"/>
      <c r="D126" s="34"/>
      <c r="E126" s="68"/>
      <c r="F126" s="68"/>
      <c r="G126" s="58"/>
      <c r="H126" s="29"/>
    </row>
    <row r="127" spans="1:8" ht="18" x14ac:dyDescent="0.25">
      <c r="A127" s="34"/>
      <c r="B127" s="34"/>
      <c r="C127" s="29"/>
      <c r="D127" s="34"/>
      <c r="E127" s="68"/>
      <c r="F127" s="68"/>
      <c r="G127" s="58"/>
      <c r="H127" s="29"/>
    </row>
    <row r="128" spans="1:8" ht="18" x14ac:dyDescent="0.25">
      <c r="A128" s="34"/>
      <c r="B128" s="34"/>
      <c r="C128" s="29"/>
      <c r="D128" s="34"/>
      <c r="E128" s="68"/>
      <c r="F128" s="68"/>
      <c r="G128" s="58"/>
      <c r="H128" s="29"/>
    </row>
    <row r="129" spans="1:8" ht="18" x14ac:dyDescent="0.25">
      <c r="A129" s="34"/>
      <c r="B129" s="34"/>
      <c r="C129" s="29"/>
      <c r="D129" s="34"/>
      <c r="E129" s="68"/>
      <c r="F129" s="68"/>
      <c r="G129" s="58"/>
      <c r="H129" s="29"/>
    </row>
    <row r="130" spans="1:8" ht="18" x14ac:dyDescent="0.25">
      <c r="A130" s="34"/>
      <c r="B130" s="34"/>
      <c r="C130" s="29"/>
      <c r="D130" s="34"/>
      <c r="E130" s="68"/>
      <c r="F130" s="68"/>
      <c r="G130" s="58"/>
      <c r="H130" s="29"/>
    </row>
    <row r="131" spans="1:8" ht="18" x14ac:dyDescent="0.25">
      <c r="A131" s="34"/>
      <c r="B131" s="34"/>
      <c r="C131" s="29"/>
      <c r="D131" s="34"/>
      <c r="E131" s="68"/>
      <c r="F131" s="68"/>
      <c r="G131" s="58"/>
      <c r="H131" s="29"/>
    </row>
    <row r="132" spans="1:8" ht="18" x14ac:dyDescent="0.25">
      <c r="A132" s="34"/>
      <c r="B132" s="34"/>
      <c r="C132" s="29"/>
      <c r="D132" s="34"/>
      <c r="E132" s="68"/>
      <c r="F132" s="68"/>
      <c r="G132" s="58"/>
      <c r="H132" s="29"/>
    </row>
    <row r="133" spans="1:8" ht="18" x14ac:dyDescent="0.25">
      <c r="A133" s="34"/>
      <c r="B133" s="34"/>
      <c r="C133" s="29"/>
      <c r="D133" s="34"/>
      <c r="E133" s="68"/>
      <c r="F133" s="68"/>
      <c r="G133" s="58"/>
      <c r="H133" s="29"/>
    </row>
    <row r="134" spans="1:8" ht="18" x14ac:dyDescent="0.25">
      <c r="A134" s="34"/>
      <c r="B134" s="34"/>
      <c r="C134" s="29"/>
      <c r="D134" s="34"/>
      <c r="E134" s="68"/>
      <c r="F134" s="68"/>
      <c r="G134" s="58"/>
      <c r="H134" s="29"/>
    </row>
    <row r="135" spans="1:8" ht="18" x14ac:dyDescent="0.25">
      <c r="A135" s="34"/>
      <c r="B135" s="34"/>
      <c r="C135" s="29"/>
      <c r="D135" s="34"/>
      <c r="E135" s="68"/>
      <c r="F135" s="68"/>
      <c r="G135" s="58"/>
      <c r="H135" s="29"/>
    </row>
    <row r="136" spans="1:8" ht="18" x14ac:dyDescent="0.25">
      <c r="A136" s="34"/>
      <c r="B136" s="34"/>
      <c r="C136" s="29"/>
      <c r="D136" s="34"/>
      <c r="E136" s="68"/>
      <c r="F136" s="68"/>
      <c r="G136" s="58"/>
      <c r="H136" s="29"/>
    </row>
    <row r="137" spans="1:8" ht="18" x14ac:dyDescent="0.25">
      <c r="A137" s="34"/>
      <c r="B137" s="34"/>
      <c r="C137" s="29"/>
      <c r="D137" s="34"/>
      <c r="E137" s="68"/>
      <c r="F137" s="68"/>
      <c r="G137" s="58"/>
      <c r="H137" s="29"/>
    </row>
    <row r="138" spans="1:8" ht="18" x14ac:dyDescent="0.25">
      <c r="A138" s="34"/>
      <c r="B138" s="34"/>
      <c r="C138" s="29"/>
      <c r="D138" s="34"/>
      <c r="E138" s="68"/>
      <c r="F138" s="68"/>
      <c r="G138" s="58"/>
      <c r="H138" s="29"/>
    </row>
    <row r="139" spans="1:8" ht="18" x14ac:dyDescent="0.25">
      <c r="A139" s="34"/>
      <c r="B139" s="34"/>
      <c r="C139" s="29"/>
      <c r="D139" s="34"/>
      <c r="E139" s="68"/>
      <c r="F139" s="68"/>
      <c r="G139" s="58"/>
      <c r="H139" s="29"/>
    </row>
    <row r="140" spans="1:8" ht="18" x14ac:dyDescent="0.25">
      <c r="A140" s="34"/>
      <c r="B140" s="34"/>
      <c r="C140" s="29"/>
      <c r="D140" s="34"/>
      <c r="E140" s="68"/>
      <c r="F140" s="68"/>
      <c r="G140" s="58"/>
      <c r="H140" s="29"/>
    </row>
    <row r="141" spans="1:8" ht="18" x14ac:dyDescent="0.25">
      <c r="A141" s="34"/>
      <c r="B141" s="34"/>
      <c r="C141" s="29"/>
      <c r="D141" s="34"/>
      <c r="E141" s="68"/>
      <c r="F141" s="68"/>
      <c r="G141" s="58"/>
      <c r="H141" s="29"/>
    </row>
    <row r="142" spans="1:8" ht="18" x14ac:dyDescent="0.25">
      <c r="A142" s="34"/>
      <c r="B142" s="34"/>
      <c r="C142" s="29"/>
      <c r="D142" s="34"/>
      <c r="E142" s="68"/>
      <c r="F142" s="68"/>
      <c r="G142" s="58"/>
      <c r="H142" s="29"/>
    </row>
    <row r="143" spans="1:8" ht="18" x14ac:dyDescent="0.25">
      <c r="A143" s="34"/>
      <c r="B143" s="34"/>
      <c r="C143" s="29"/>
      <c r="D143" s="34"/>
      <c r="E143" s="68"/>
      <c r="F143" s="68"/>
      <c r="G143" s="58"/>
      <c r="H143" s="29"/>
    </row>
    <row r="144" spans="1:8" ht="18" x14ac:dyDescent="0.25">
      <c r="A144" s="34"/>
      <c r="B144" s="34"/>
      <c r="C144" s="29"/>
      <c r="D144" s="34"/>
      <c r="E144" s="68"/>
      <c r="F144" s="68"/>
      <c r="G144" s="58"/>
      <c r="H144" s="29"/>
    </row>
    <row r="145" spans="1:8" ht="18" x14ac:dyDescent="0.25">
      <c r="A145" s="34"/>
      <c r="B145" s="34"/>
      <c r="C145" s="29"/>
      <c r="D145" s="34"/>
      <c r="E145" s="68"/>
      <c r="F145" s="68"/>
      <c r="G145" s="58"/>
      <c r="H145" s="29"/>
    </row>
    <row r="146" spans="1:8" ht="18" x14ac:dyDescent="0.25">
      <c r="A146" s="34"/>
      <c r="B146" s="34"/>
      <c r="C146" s="29"/>
      <c r="D146" s="34"/>
      <c r="E146" s="68"/>
      <c r="F146" s="68"/>
      <c r="G146" s="58"/>
      <c r="H146" s="29"/>
    </row>
    <row r="147" spans="1:8" ht="18" x14ac:dyDescent="0.25">
      <c r="A147" s="34"/>
      <c r="B147" s="34"/>
      <c r="C147" s="29"/>
      <c r="D147" s="34"/>
      <c r="E147" s="68"/>
      <c r="F147" s="68"/>
      <c r="G147" s="58"/>
      <c r="H147" s="29"/>
    </row>
    <row r="148" spans="1:8" ht="18" x14ac:dyDescent="0.25">
      <c r="A148" s="34"/>
      <c r="B148" s="34"/>
      <c r="C148" s="29"/>
      <c r="D148" s="34"/>
      <c r="E148" s="68"/>
      <c r="F148" s="68"/>
      <c r="G148" s="58"/>
      <c r="H148" s="29"/>
    </row>
    <row r="149" spans="1:8" ht="18" x14ac:dyDescent="0.25">
      <c r="A149" s="34"/>
      <c r="B149" s="34"/>
      <c r="C149" s="29"/>
      <c r="D149" s="34"/>
      <c r="E149" s="68"/>
      <c r="F149" s="68"/>
      <c r="G149" s="58"/>
      <c r="H149" s="29"/>
    </row>
    <row r="150" spans="1:8" ht="18" x14ac:dyDescent="0.25">
      <c r="A150" s="34"/>
      <c r="B150" s="34"/>
      <c r="C150" s="29"/>
      <c r="D150" s="34"/>
      <c r="E150" s="68"/>
      <c r="F150" s="68"/>
      <c r="G150" s="58"/>
      <c r="H150" s="29"/>
    </row>
    <row r="151" spans="1:8" ht="18" x14ac:dyDescent="0.25">
      <c r="A151" s="34"/>
      <c r="B151" s="34"/>
      <c r="C151" s="29"/>
      <c r="D151" s="34"/>
      <c r="E151" s="68"/>
      <c r="F151" s="68"/>
      <c r="G151" s="58"/>
      <c r="H151" s="29"/>
    </row>
    <row r="152" spans="1:8" ht="18" x14ac:dyDescent="0.25">
      <c r="A152" s="34"/>
      <c r="B152" s="34"/>
      <c r="C152" s="29"/>
      <c r="D152" s="34"/>
      <c r="E152" s="68"/>
      <c r="F152" s="68"/>
      <c r="G152" s="58"/>
      <c r="H152" s="29"/>
    </row>
    <row r="153" spans="1:8" ht="18" x14ac:dyDescent="0.25">
      <c r="A153" s="34"/>
      <c r="B153" s="34"/>
      <c r="C153" s="29"/>
      <c r="D153" s="34"/>
      <c r="E153" s="68"/>
      <c r="F153" s="68"/>
      <c r="G153" s="58"/>
      <c r="H153" s="29"/>
    </row>
    <row r="154" spans="1:8" ht="18" x14ac:dyDescent="0.25">
      <c r="A154" s="34"/>
      <c r="B154" s="34"/>
      <c r="C154" s="29"/>
      <c r="D154" s="34"/>
      <c r="E154" s="68"/>
      <c r="F154" s="68"/>
      <c r="G154" s="58"/>
      <c r="H154" s="29"/>
    </row>
    <row r="155" spans="1:8" ht="18" x14ac:dyDescent="0.25">
      <c r="A155" s="34"/>
      <c r="B155" s="34"/>
      <c r="C155" s="29"/>
      <c r="D155" s="34"/>
      <c r="E155" s="68"/>
      <c r="F155" s="68"/>
      <c r="G155" s="58"/>
      <c r="H155" s="29"/>
    </row>
    <row r="156" spans="1:8" ht="18" x14ac:dyDescent="0.25">
      <c r="A156" s="34"/>
      <c r="B156" s="34"/>
      <c r="C156" s="29"/>
      <c r="D156" s="34"/>
      <c r="E156" s="68"/>
      <c r="F156" s="68"/>
      <c r="G156" s="58"/>
      <c r="H156" s="29"/>
    </row>
    <row r="157" spans="1:8" ht="18" x14ac:dyDescent="0.25">
      <c r="A157" s="34"/>
      <c r="B157" s="34"/>
      <c r="C157" s="29"/>
      <c r="D157" s="34"/>
      <c r="E157" s="68"/>
      <c r="F157" s="68"/>
      <c r="G157" s="58"/>
      <c r="H157" s="29"/>
    </row>
    <row r="158" spans="1:8" ht="18" x14ac:dyDescent="0.25">
      <c r="A158" s="34"/>
      <c r="B158" s="34"/>
      <c r="C158" s="29"/>
      <c r="D158" s="34"/>
      <c r="E158" s="68"/>
      <c r="F158" s="68"/>
      <c r="G158" s="58"/>
      <c r="H158" s="29"/>
    </row>
    <row r="159" spans="1:8" ht="18" x14ac:dyDescent="0.25">
      <c r="A159" s="34"/>
      <c r="B159" s="34"/>
      <c r="C159" s="29"/>
      <c r="D159" s="34"/>
      <c r="E159" s="68"/>
      <c r="F159" s="68"/>
      <c r="G159" s="58"/>
      <c r="H159" s="29"/>
    </row>
    <row r="160" spans="1:8" ht="18" x14ac:dyDescent="0.25">
      <c r="A160" s="34"/>
      <c r="B160" s="34"/>
      <c r="C160" s="29"/>
      <c r="D160" s="34"/>
      <c r="E160" s="68"/>
      <c r="F160" s="68"/>
      <c r="G160" s="58"/>
      <c r="H160" s="29"/>
    </row>
    <row r="161" spans="1:8" ht="18" x14ac:dyDescent="0.25">
      <c r="A161" s="34"/>
      <c r="B161" s="34"/>
      <c r="C161" s="29"/>
      <c r="D161" s="34"/>
      <c r="E161" s="68"/>
      <c r="F161" s="68"/>
      <c r="G161" s="58"/>
      <c r="H161" s="29"/>
    </row>
    <row r="162" spans="1:8" ht="18" x14ac:dyDescent="0.25">
      <c r="A162" s="34"/>
      <c r="B162" s="34"/>
      <c r="C162" s="29"/>
      <c r="D162" s="34"/>
      <c r="E162" s="68"/>
      <c r="F162" s="68"/>
      <c r="G162" s="58"/>
      <c r="H162" s="29"/>
    </row>
    <row r="163" spans="1:8" ht="18" x14ac:dyDescent="0.25">
      <c r="A163" s="34"/>
      <c r="B163" s="34"/>
      <c r="C163" s="29"/>
      <c r="D163" s="34"/>
      <c r="E163" s="68"/>
      <c r="F163" s="68"/>
      <c r="G163" s="58"/>
      <c r="H163" s="29"/>
    </row>
    <row r="164" spans="1:8" ht="18" x14ac:dyDescent="0.25">
      <c r="A164" s="34"/>
      <c r="B164" s="34"/>
      <c r="C164" s="29"/>
      <c r="D164" s="34"/>
      <c r="E164" s="68"/>
      <c r="F164" s="68"/>
      <c r="G164" s="58"/>
      <c r="H164" s="29"/>
    </row>
    <row r="165" spans="1:8" ht="18" x14ac:dyDescent="0.25">
      <c r="A165" s="34"/>
      <c r="B165" s="34"/>
      <c r="C165" s="29"/>
      <c r="D165" s="34"/>
      <c r="E165" s="68"/>
      <c r="F165" s="68"/>
      <c r="G165" s="58"/>
      <c r="H165" s="29"/>
    </row>
    <row r="166" spans="1:8" ht="18" x14ac:dyDescent="0.25">
      <c r="A166" s="34"/>
      <c r="B166" s="34"/>
      <c r="C166" s="29"/>
      <c r="D166" s="34"/>
      <c r="E166" s="68"/>
      <c r="F166" s="68"/>
      <c r="G166" s="58"/>
      <c r="H166" s="29"/>
    </row>
    <row r="167" spans="1:8" ht="18" x14ac:dyDescent="0.25">
      <c r="A167" s="34"/>
      <c r="B167" s="34"/>
      <c r="C167" s="29"/>
      <c r="D167" s="34"/>
      <c r="E167" s="68"/>
      <c r="F167" s="68"/>
      <c r="G167" s="58"/>
      <c r="H167" s="29"/>
    </row>
    <row r="168" spans="1:8" ht="18" x14ac:dyDescent="0.25">
      <c r="A168" s="34"/>
      <c r="B168" s="34"/>
      <c r="C168" s="29"/>
      <c r="D168" s="34"/>
      <c r="E168" s="68"/>
      <c r="F168" s="68"/>
      <c r="G168" s="58"/>
      <c r="H168" s="29"/>
    </row>
    <row r="169" spans="1:8" ht="18" x14ac:dyDescent="0.25">
      <c r="A169" s="34"/>
      <c r="B169" s="34"/>
      <c r="C169" s="29"/>
      <c r="D169" s="34"/>
      <c r="E169" s="68"/>
      <c r="F169" s="68"/>
      <c r="G169" s="58"/>
      <c r="H169" s="29"/>
    </row>
    <row r="170" spans="1:8" ht="18" x14ac:dyDescent="0.25">
      <c r="A170" s="34"/>
      <c r="B170" s="34"/>
      <c r="C170" s="29"/>
      <c r="D170" s="34"/>
      <c r="E170" s="68"/>
      <c r="F170" s="68"/>
      <c r="G170" s="58"/>
      <c r="H170" s="29"/>
    </row>
    <row r="171" spans="1:8" ht="18" x14ac:dyDescent="0.25">
      <c r="A171" s="34"/>
      <c r="B171" s="34"/>
      <c r="C171" s="29"/>
      <c r="D171" s="34"/>
      <c r="E171" s="68"/>
      <c r="F171" s="68"/>
      <c r="G171" s="58"/>
      <c r="H171" s="29"/>
    </row>
    <row r="172" spans="1:8" ht="18" x14ac:dyDescent="0.25">
      <c r="A172" s="34"/>
      <c r="B172" s="34"/>
      <c r="C172" s="29"/>
      <c r="D172" s="34"/>
      <c r="E172" s="68"/>
      <c r="F172" s="68"/>
      <c r="G172" s="58"/>
      <c r="H172" s="29"/>
    </row>
    <row r="173" spans="1:8" ht="18" x14ac:dyDescent="0.25">
      <c r="A173" s="34"/>
      <c r="B173" s="34"/>
      <c r="C173" s="29"/>
      <c r="D173" s="34"/>
      <c r="E173" s="68"/>
      <c r="F173" s="68"/>
      <c r="G173" s="58"/>
      <c r="H173" s="29"/>
    </row>
    <row r="174" spans="1:8" ht="18" x14ac:dyDescent="0.25">
      <c r="A174" s="34"/>
      <c r="B174" s="34"/>
      <c r="C174" s="29"/>
      <c r="D174" s="34"/>
      <c r="E174" s="68"/>
      <c r="F174" s="68"/>
      <c r="G174" s="58"/>
      <c r="H174" s="29"/>
    </row>
    <row r="175" spans="1:8" ht="18" x14ac:dyDescent="0.25">
      <c r="A175" s="34"/>
      <c r="B175" s="34"/>
      <c r="C175" s="29"/>
      <c r="D175" s="34"/>
      <c r="E175" s="68"/>
      <c r="F175" s="68"/>
      <c r="G175" s="58"/>
      <c r="H175" s="29"/>
    </row>
    <row r="176" spans="1:8" ht="18" x14ac:dyDescent="0.25">
      <c r="A176" s="34"/>
      <c r="B176" s="34"/>
      <c r="C176" s="29"/>
      <c r="D176" s="34"/>
      <c r="E176" s="68"/>
      <c r="F176" s="68"/>
      <c r="G176" s="58"/>
      <c r="H176" s="29"/>
    </row>
    <row r="177" spans="1:8" ht="18" x14ac:dyDescent="0.25">
      <c r="A177" s="34"/>
      <c r="B177" s="34"/>
      <c r="C177" s="29"/>
      <c r="D177" s="34"/>
      <c r="E177" s="68"/>
      <c r="F177" s="68"/>
      <c r="G177" s="58"/>
      <c r="H177" s="29"/>
    </row>
    <row r="178" spans="1:8" ht="18" x14ac:dyDescent="0.25">
      <c r="A178" s="34"/>
      <c r="B178" s="34"/>
      <c r="C178" s="29"/>
      <c r="D178" s="34"/>
      <c r="E178" s="68"/>
      <c r="F178" s="68"/>
      <c r="G178" s="58"/>
      <c r="H178" s="29"/>
    </row>
    <row r="179" spans="1:8" ht="18" x14ac:dyDescent="0.25">
      <c r="A179" s="34"/>
      <c r="B179" s="34"/>
      <c r="C179" s="29"/>
      <c r="D179" s="34"/>
      <c r="E179" s="68"/>
      <c r="F179" s="68"/>
      <c r="G179" s="58"/>
      <c r="H179" s="29"/>
    </row>
    <row r="180" spans="1:8" ht="18" x14ac:dyDescent="0.25">
      <c r="A180" s="34"/>
      <c r="B180" s="34"/>
      <c r="C180" s="29"/>
      <c r="D180" s="34"/>
      <c r="E180" s="68"/>
      <c r="F180" s="68"/>
      <c r="G180" s="58"/>
      <c r="H180" s="29"/>
    </row>
    <row r="181" spans="1:8" ht="18" x14ac:dyDescent="0.25">
      <c r="A181" s="34"/>
      <c r="B181" s="34"/>
      <c r="C181" s="29"/>
      <c r="D181" s="34"/>
      <c r="E181" s="68"/>
      <c r="F181" s="68"/>
      <c r="G181" s="58"/>
      <c r="H181" s="29"/>
    </row>
    <row r="182" spans="1:8" ht="18" x14ac:dyDescent="0.25">
      <c r="A182" s="34"/>
      <c r="B182" s="34"/>
      <c r="C182" s="29"/>
      <c r="D182" s="34"/>
      <c r="E182" s="68"/>
      <c r="F182" s="68"/>
      <c r="G182" s="58"/>
      <c r="H182" s="29"/>
    </row>
    <row r="183" spans="1:8" ht="18" x14ac:dyDescent="0.25">
      <c r="A183" s="34"/>
      <c r="B183" s="34"/>
      <c r="C183" s="29"/>
      <c r="D183" s="34"/>
      <c r="E183" s="68"/>
      <c r="F183" s="68"/>
      <c r="G183" s="58"/>
      <c r="H183" s="29"/>
    </row>
    <row r="184" spans="1:8" ht="18" x14ac:dyDescent="0.25">
      <c r="A184" s="34"/>
      <c r="B184" s="34"/>
      <c r="C184" s="29"/>
      <c r="D184" s="34"/>
      <c r="E184" s="68"/>
      <c r="F184" s="68"/>
      <c r="G184" s="58"/>
      <c r="H184" s="29"/>
    </row>
    <row r="185" spans="1:8" ht="18" x14ac:dyDescent="0.25">
      <c r="A185" s="34"/>
      <c r="B185" s="34"/>
      <c r="C185" s="29"/>
      <c r="D185" s="34"/>
      <c r="E185" s="68"/>
      <c r="F185" s="68"/>
      <c r="G185" s="58"/>
      <c r="H185" s="29"/>
    </row>
    <row r="186" spans="1:8" ht="18" x14ac:dyDescent="0.25">
      <c r="A186" s="34"/>
      <c r="B186" s="34"/>
      <c r="C186" s="29"/>
      <c r="D186" s="34"/>
      <c r="E186" s="68"/>
      <c r="F186" s="68"/>
      <c r="G186" s="58"/>
      <c r="H186" s="29"/>
    </row>
    <row r="187" spans="1:8" ht="18" x14ac:dyDescent="0.25">
      <c r="A187" s="34"/>
      <c r="B187" s="34"/>
      <c r="C187" s="29"/>
      <c r="D187" s="34"/>
      <c r="E187" s="68"/>
      <c r="F187" s="68"/>
      <c r="G187" s="58"/>
      <c r="H187" s="29"/>
    </row>
    <row r="188" spans="1:8" ht="18" x14ac:dyDescent="0.25">
      <c r="A188" s="34"/>
      <c r="B188" s="34"/>
      <c r="C188" s="29"/>
      <c r="D188" s="34"/>
      <c r="E188" s="68"/>
      <c r="F188" s="68"/>
      <c r="G188" s="58"/>
      <c r="H188" s="29"/>
    </row>
    <row r="189" spans="1:8" ht="18" x14ac:dyDescent="0.25">
      <c r="A189" s="34"/>
      <c r="B189" s="34"/>
      <c r="C189" s="29"/>
      <c r="D189" s="34"/>
      <c r="E189" s="68"/>
      <c r="F189" s="68"/>
      <c r="G189" s="58"/>
      <c r="H189" s="29"/>
    </row>
    <row r="190" spans="1:8" ht="18" x14ac:dyDescent="0.25">
      <c r="A190" s="34"/>
      <c r="B190" s="34"/>
      <c r="C190" s="29"/>
      <c r="D190" s="34"/>
      <c r="E190" s="68"/>
      <c r="F190" s="68"/>
      <c r="G190" s="58"/>
      <c r="H190" s="29"/>
    </row>
    <row r="191" spans="1:8" ht="18" x14ac:dyDescent="0.25">
      <c r="A191" s="34"/>
      <c r="B191" s="34"/>
      <c r="C191" s="29"/>
      <c r="D191" s="34"/>
      <c r="E191" s="68"/>
      <c r="F191" s="68"/>
      <c r="G191" s="58"/>
      <c r="H191" s="29"/>
    </row>
    <row r="192" spans="1:8" ht="18" x14ac:dyDescent="0.25">
      <c r="A192" s="34"/>
      <c r="B192" s="34"/>
      <c r="C192" s="29"/>
      <c r="D192" s="34"/>
      <c r="E192" s="68"/>
      <c r="F192" s="68"/>
      <c r="G192" s="58"/>
      <c r="H192" s="29"/>
    </row>
    <row r="193" spans="1:8" ht="18" x14ac:dyDescent="0.25">
      <c r="A193" s="34"/>
      <c r="B193" s="34"/>
      <c r="C193" s="29"/>
      <c r="D193" s="34"/>
      <c r="E193" s="68"/>
      <c r="F193" s="68"/>
      <c r="G193" s="58"/>
      <c r="H193" s="29"/>
    </row>
    <row r="194" spans="1:8" ht="18" x14ac:dyDescent="0.25">
      <c r="A194" s="34"/>
      <c r="B194" s="34"/>
      <c r="C194" s="29"/>
      <c r="D194" s="34"/>
      <c r="E194" s="68"/>
      <c r="F194" s="68"/>
      <c r="G194" s="58"/>
      <c r="H194" s="29"/>
    </row>
    <row r="195" spans="1:8" ht="18" x14ac:dyDescent="0.25">
      <c r="A195" s="34"/>
      <c r="B195" s="34"/>
      <c r="C195" s="29"/>
      <c r="D195" s="34"/>
      <c r="E195" s="68"/>
      <c r="F195" s="68"/>
      <c r="G195" s="58"/>
      <c r="H195" s="29"/>
    </row>
    <row r="196" spans="1:8" ht="18" x14ac:dyDescent="0.25">
      <c r="A196" s="34"/>
      <c r="B196" s="34"/>
      <c r="C196" s="29"/>
      <c r="D196" s="34"/>
      <c r="E196" s="68"/>
      <c r="F196" s="68"/>
      <c r="G196" s="58"/>
      <c r="H196" s="29"/>
    </row>
    <row r="197" spans="1:8" ht="18" x14ac:dyDescent="0.25">
      <c r="A197" s="34"/>
      <c r="B197" s="34"/>
      <c r="C197" s="29"/>
      <c r="D197" s="34"/>
      <c r="E197" s="68"/>
      <c r="F197" s="68"/>
      <c r="G197" s="58"/>
      <c r="H197" s="29"/>
    </row>
    <row r="198" spans="1:8" ht="18" x14ac:dyDescent="0.25">
      <c r="A198" s="34"/>
      <c r="B198" s="34"/>
      <c r="C198" s="29"/>
      <c r="D198" s="34"/>
      <c r="E198" s="68"/>
      <c r="F198" s="68"/>
      <c r="G198" s="58"/>
      <c r="H198" s="29"/>
    </row>
    <row r="199" spans="1:8" ht="18" x14ac:dyDescent="0.25">
      <c r="A199" s="34"/>
      <c r="B199" s="34"/>
      <c r="C199" s="29"/>
      <c r="D199" s="34"/>
      <c r="E199" s="68"/>
      <c r="F199" s="68"/>
      <c r="G199" s="58"/>
      <c r="H199" s="29"/>
    </row>
    <row r="200" spans="1:8" ht="18" x14ac:dyDescent="0.25">
      <c r="A200" s="34"/>
      <c r="B200" s="34"/>
      <c r="C200" s="29"/>
      <c r="D200" s="34"/>
      <c r="E200" s="68"/>
      <c r="F200" s="68"/>
      <c r="G200" s="58"/>
      <c r="H200" s="29"/>
    </row>
    <row r="201" spans="1:8" ht="18" x14ac:dyDescent="0.25">
      <c r="A201" s="34"/>
      <c r="B201" s="34"/>
      <c r="C201" s="29"/>
      <c r="D201" s="34"/>
      <c r="E201" s="68"/>
      <c r="F201" s="68"/>
      <c r="G201" s="58"/>
      <c r="H201" s="29"/>
    </row>
    <row r="202" spans="1:8" ht="18" x14ac:dyDescent="0.25">
      <c r="A202" s="34"/>
      <c r="B202" s="34"/>
      <c r="C202" s="29"/>
      <c r="D202" s="34"/>
      <c r="E202" s="68"/>
      <c r="F202" s="68"/>
      <c r="G202" s="58"/>
      <c r="H202" s="29"/>
    </row>
    <row r="203" spans="1:8" ht="18" x14ac:dyDescent="0.25">
      <c r="A203" s="34"/>
      <c r="B203" s="34"/>
      <c r="C203" s="29"/>
      <c r="D203" s="34"/>
      <c r="E203" s="68"/>
      <c r="F203" s="68"/>
      <c r="G203" s="58"/>
      <c r="H203" s="29"/>
    </row>
    <row r="204" spans="1:8" ht="18" x14ac:dyDescent="0.25">
      <c r="A204" s="34"/>
      <c r="B204" s="34"/>
      <c r="C204" s="29"/>
      <c r="D204" s="34"/>
      <c r="E204" s="68"/>
      <c r="F204" s="68"/>
      <c r="G204" s="58"/>
      <c r="H204" s="29"/>
    </row>
    <row r="205" spans="1:8" ht="18" x14ac:dyDescent="0.25">
      <c r="A205" s="34"/>
      <c r="B205" s="34"/>
      <c r="C205" s="29"/>
      <c r="D205" s="34"/>
      <c r="E205" s="68"/>
      <c r="F205" s="68"/>
      <c r="G205" s="58"/>
      <c r="H205" s="29"/>
    </row>
    <row r="206" spans="1:8" ht="18" x14ac:dyDescent="0.25">
      <c r="A206" s="34"/>
      <c r="B206" s="34"/>
      <c r="C206" s="29"/>
      <c r="D206" s="34"/>
      <c r="E206" s="68"/>
      <c r="F206" s="68"/>
      <c r="G206" s="58"/>
      <c r="H206" s="29"/>
    </row>
    <row r="207" spans="1:8" ht="18" x14ac:dyDescent="0.25">
      <c r="A207" s="34"/>
      <c r="B207" s="34"/>
      <c r="C207" s="29"/>
      <c r="D207" s="34"/>
      <c r="E207" s="68"/>
      <c r="F207" s="68"/>
      <c r="G207" s="58"/>
      <c r="H207" s="29"/>
    </row>
    <row r="208" spans="1:8" ht="18" x14ac:dyDescent="0.25">
      <c r="A208" s="34"/>
      <c r="B208" s="34"/>
      <c r="C208" s="29"/>
      <c r="D208" s="34"/>
      <c r="E208" s="68"/>
      <c r="F208" s="68"/>
      <c r="G208" s="58"/>
      <c r="H208" s="29"/>
    </row>
    <row r="209" spans="1:8" ht="18" x14ac:dyDescent="0.25">
      <c r="A209" s="34"/>
      <c r="B209" s="34"/>
      <c r="C209" s="29"/>
      <c r="D209" s="34"/>
      <c r="E209" s="68"/>
      <c r="F209" s="68"/>
      <c r="G209" s="58"/>
      <c r="H209" s="29"/>
    </row>
    <row r="210" spans="1:8" ht="18" x14ac:dyDescent="0.25">
      <c r="A210" s="34"/>
      <c r="B210" s="34"/>
      <c r="C210" s="29"/>
      <c r="D210" s="34"/>
      <c r="E210" s="68"/>
      <c r="F210" s="68"/>
      <c r="G210" s="58"/>
      <c r="H210" s="29"/>
    </row>
    <row r="211" spans="1:8" ht="18" x14ac:dyDescent="0.25">
      <c r="A211" s="34"/>
      <c r="B211" s="34"/>
      <c r="C211" s="29"/>
      <c r="D211" s="34"/>
      <c r="E211" s="68"/>
      <c r="F211" s="68"/>
      <c r="G211" s="58"/>
      <c r="H211" s="29"/>
    </row>
    <row r="212" spans="1:8" ht="18" x14ac:dyDescent="0.25">
      <c r="A212" s="34"/>
      <c r="B212" s="34"/>
      <c r="C212" s="29"/>
      <c r="D212" s="34"/>
      <c r="E212" s="68"/>
      <c r="F212" s="68"/>
      <c r="G212" s="58"/>
      <c r="H212" s="29"/>
    </row>
    <row r="213" spans="1:8" ht="18" x14ac:dyDescent="0.25">
      <c r="A213" s="34"/>
      <c r="B213" s="34"/>
      <c r="C213" s="29"/>
      <c r="D213" s="34"/>
      <c r="E213" s="68"/>
      <c r="F213" s="68"/>
      <c r="G213" s="58"/>
      <c r="H213" s="29"/>
    </row>
    <row r="214" spans="1:8" ht="18" x14ac:dyDescent="0.25">
      <c r="A214" s="34"/>
      <c r="B214" s="34"/>
      <c r="C214" s="29"/>
      <c r="D214" s="34"/>
      <c r="E214" s="68"/>
      <c r="F214" s="68"/>
      <c r="G214" s="58"/>
      <c r="H214" s="29"/>
    </row>
    <row r="215" spans="1:8" ht="18" x14ac:dyDescent="0.25">
      <c r="A215" s="34"/>
      <c r="B215" s="34"/>
      <c r="C215" s="29"/>
      <c r="D215" s="34"/>
      <c r="E215" s="68"/>
      <c r="F215" s="68"/>
      <c r="G215" s="58"/>
      <c r="H215" s="29"/>
    </row>
    <row r="216" spans="1:8" ht="18" x14ac:dyDescent="0.25">
      <c r="A216" s="34"/>
      <c r="B216" s="34"/>
      <c r="C216" s="29"/>
      <c r="D216" s="34"/>
      <c r="E216" s="68"/>
      <c r="F216" s="68"/>
      <c r="G216" s="58"/>
      <c r="H216" s="29"/>
    </row>
    <row r="217" spans="1:8" ht="18" x14ac:dyDescent="0.25">
      <c r="A217" s="34"/>
      <c r="B217" s="34"/>
      <c r="C217" s="29"/>
      <c r="D217" s="34"/>
      <c r="E217" s="68"/>
      <c r="F217" s="68"/>
      <c r="G217" s="58"/>
      <c r="H217" s="29"/>
    </row>
    <row r="218" spans="1:8" ht="18" x14ac:dyDescent="0.25">
      <c r="A218" s="34"/>
      <c r="B218" s="34"/>
      <c r="C218" s="29"/>
      <c r="D218" s="34"/>
      <c r="E218" s="68"/>
      <c r="F218" s="68"/>
      <c r="G218" s="58"/>
      <c r="H218" s="29"/>
    </row>
    <row r="219" spans="1:8" ht="18" x14ac:dyDescent="0.25">
      <c r="A219" s="34"/>
      <c r="B219" s="34"/>
      <c r="C219" s="29"/>
      <c r="D219" s="34"/>
      <c r="E219" s="68"/>
      <c r="F219" s="68"/>
      <c r="G219" s="58"/>
      <c r="H219" s="29"/>
    </row>
    <row r="220" spans="1:8" ht="18" x14ac:dyDescent="0.25">
      <c r="A220" s="34"/>
      <c r="B220" s="34"/>
      <c r="C220" s="29"/>
      <c r="D220" s="34"/>
      <c r="E220" s="68"/>
      <c r="F220" s="68"/>
      <c r="G220" s="58"/>
      <c r="H220" s="29"/>
    </row>
    <row r="221" spans="1:8" ht="18" x14ac:dyDescent="0.25">
      <c r="A221" s="34"/>
      <c r="B221" s="34"/>
      <c r="C221" s="29"/>
      <c r="D221" s="34"/>
      <c r="E221" s="68"/>
      <c r="F221" s="68"/>
      <c r="G221" s="58"/>
      <c r="H221" s="29"/>
    </row>
    <row r="222" spans="1:8" ht="18" x14ac:dyDescent="0.25">
      <c r="A222" s="34"/>
      <c r="B222" s="34"/>
      <c r="C222" s="29"/>
      <c r="D222" s="34"/>
      <c r="E222" s="68"/>
      <c r="F222" s="68"/>
      <c r="G222" s="58"/>
      <c r="H222" s="29"/>
    </row>
    <row r="223" spans="1:8" ht="18" x14ac:dyDescent="0.25">
      <c r="A223" s="34"/>
      <c r="B223" s="34"/>
      <c r="C223" s="29"/>
      <c r="D223" s="34"/>
      <c r="E223" s="68"/>
      <c r="F223" s="68"/>
      <c r="G223" s="58"/>
      <c r="H223" s="29"/>
    </row>
    <row r="224" spans="1:8" ht="18" x14ac:dyDescent="0.25">
      <c r="A224" s="34"/>
      <c r="B224" s="34"/>
      <c r="C224" s="29"/>
      <c r="D224" s="34"/>
      <c r="E224" s="68"/>
      <c r="F224" s="68"/>
      <c r="G224" s="58"/>
      <c r="H224" s="29"/>
    </row>
    <row r="225" spans="1:8" ht="18" x14ac:dyDescent="0.25">
      <c r="A225" s="34"/>
      <c r="B225" s="34"/>
      <c r="C225" s="29"/>
      <c r="D225" s="34"/>
      <c r="E225" s="68"/>
      <c r="F225" s="68"/>
      <c r="G225" s="58"/>
      <c r="H225" s="29"/>
    </row>
    <row r="226" spans="1:8" ht="18" x14ac:dyDescent="0.25">
      <c r="A226" s="34"/>
      <c r="B226" s="34"/>
      <c r="C226" s="29"/>
      <c r="D226" s="34"/>
      <c r="E226" s="68"/>
      <c r="F226" s="68"/>
      <c r="G226" s="58"/>
      <c r="H226" s="29"/>
    </row>
    <row r="227" spans="1:8" ht="18" x14ac:dyDescent="0.25">
      <c r="A227" s="34"/>
      <c r="B227" s="34"/>
      <c r="C227" s="29"/>
      <c r="D227" s="34"/>
      <c r="E227" s="68"/>
      <c r="F227" s="68"/>
      <c r="G227" s="58"/>
      <c r="H227" s="29"/>
    </row>
    <row r="228" spans="1:8" ht="18" x14ac:dyDescent="0.25">
      <c r="A228" s="34"/>
      <c r="B228" s="34"/>
      <c r="C228" s="29"/>
      <c r="D228" s="34"/>
      <c r="E228" s="68"/>
      <c r="F228" s="68"/>
      <c r="G228" s="58"/>
      <c r="H228" s="29"/>
    </row>
    <row r="229" spans="1:8" ht="18" x14ac:dyDescent="0.25">
      <c r="A229" s="34"/>
      <c r="B229" s="34"/>
      <c r="C229" s="29"/>
      <c r="D229" s="34"/>
      <c r="E229" s="68"/>
      <c r="F229" s="68"/>
      <c r="G229" s="58"/>
      <c r="H229" s="29"/>
    </row>
    <row r="230" spans="1:8" ht="18" x14ac:dyDescent="0.25">
      <c r="A230" s="34"/>
      <c r="B230" s="34"/>
      <c r="C230" s="29"/>
      <c r="D230" s="34"/>
      <c r="E230" s="68"/>
      <c r="F230" s="68"/>
      <c r="G230" s="58"/>
      <c r="H230" s="29"/>
    </row>
    <row r="231" spans="1:8" ht="18" x14ac:dyDescent="0.25">
      <c r="A231" s="34"/>
      <c r="B231" s="34"/>
      <c r="C231" s="29"/>
      <c r="D231" s="34"/>
      <c r="E231" s="68"/>
      <c r="F231" s="68"/>
      <c r="G231" s="58"/>
      <c r="H231" s="29"/>
    </row>
    <row r="232" spans="1:8" ht="18" x14ac:dyDescent="0.25">
      <c r="A232" s="34"/>
      <c r="B232" s="34"/>
      <c r="C232" s="29"/>
      <c r="D232" s="34"/>
      <c r="E232" s="68"/>
      <c r="F232" s="68"/>
      <c r="G232" s="58"/>
      <c r="H232" s="29"/>
    </row>
    <row r="233" spans="1:8" ht="18" x14ac:dyDescent="0.25">
      <c r="A233" s="34"/>
      <c r="B233" s="34"/>
      <c r="C233" s="29"/>
      <c r="D233" s="34"/>
      <c r="E233" s="68"/>
      <c r="F233" s="68"/>
      <c r="G233" s="58"/>
      <c r="H233" s="29"/>
    </row>
    <row r="234" spans="1:8" ht="18" x14ac:dyDescent="0.25">
      <c r="A234" s="34"/>
      <c r="B234" s="34"/>
      <c r="C234" s="29"/>
      <c r="D234" s="34"/>
      <c r="E234" s="68"/>
      <c r="F234" s="68"/>
      <c r="G234" s="58"/>
      <c r="H234" s="29"/>
    </row>
    <row r="235" spans="1:8" ht="18" x14ac:dyDescent="0.25">
      <c r="A235" s="34"/>
      <c r="B235" s="34"/>
      <c r="C235" s="29"/>
      <c r="D235" s="34"/>
      <c r="E235" s="68"/>
      <c r="F235" s="68"/>
      <c r="G235" s="58"/>
      <c r="H235" s="29"/>
    </row>
    <row r="236" spans="1:8" ht="18" x14ac:dyDescent="0.25">
      <c r="A236" s="34"/>
      <c r="B236" s="34"/>
      <c r="C236" s="29"/>
      <c r="D236" s="34"/>
      <c r="E236" s="68"/>
      <c r="F236" s="68"/>
      <c r="G236" s="58"/>
      <c r="H236" s="29"/>
    </row>
    <row r="237" spans="1:8" ht="18" x14ac:dyDescent="0.25">
      <c r="A237" s="34"/>
      <c r="B237" s="34"/>
      <c r="C237" s="29"/>
      <c r="D237" s="34"/>
      <c r="E237" s="68"/>
      <c r="F237" s="68"/>
      <c r="G237" s="58"/>
      <c r="H237" s="29"/>
    </row>
    <row r="238" spans="1:8" ht="18" x14ac:dyDescent="0.25">
      <c r="A238" s="34"/>
      <c r="B238" s="34"/>
      <c r="C238" s="29"/>
      <c r="D238" s="34"/>
      <c r="E238" s="68"/>
      <c r="F238" s="68"/>
      <c r="G238" s="58"/>
      <c r="H238" s="29"/>
    </row>
    <row r="239" spans="1:8" ht="18" x14ac:dyDescent="0.25">
      <c r="A239" s="34"/>
      <c r="B239" s="34"/>
      <c r="C239" s="29"/>
      <c r="D239" s="34"/>
      <c r="E239" s="68"/>
      <c r="F239" s="68"/>
      <c r="G239" s="58"/>
      <c r="H239" s="29"/>
    </row>
    <row r="240" spans="1:8" ht="18" x14ac:dyDescent="0.25">
      <c r="A240" s="34"/>
      <c r="B240" s="34"/>
      <c r="C240" s="29"/>
      <c r="D240" s="34"/>
      <c r="E240" s="68"/>
      <c r="F240" s="68"/>
      <c r="G240" s="58"/>
      <c r="H240" s="29"/>
    </row>
    <row r="241" spans="1:8" ht="18" x14ac:dyDescent="0.25">
      <c r="A241" s="34"/>
      <c r="B241" s="34"/>
      <c r="C241" s="29"/>
      <c r="D241" s="34"/>
      <c r="E241" s="68"/>
      <c r="F241" s="68"/>
      <c r="G241" s="58"/>
      <c r="H241" s="29"/>
    </row>
    <row r="242" spans="1:8" ht="18" x14ac:dyDescent="0.25">
      <c r="A242" s="34"/>
      <c r="B242" s="34"/>
      <c r="C242" s="29"/>
      <c r="D242" s="34"/>
      <c r="E242" s="68"/>
      <c r="F242" s="68"/>
      <c r="G242" s="58"/>
      <c r="H242" s="29"/>
    </row>
    <row r="243" spans="1:8" ht="18" x14ac:dyDescent="0.25">
      <c r="A243" s="34"/>
      <c r="B243" s="34"/>
      <c r="C243" s="29"/>
      <c r="D243" s="34"/>
      <c r="E243" s="68"/>
      <c r="F243" s="68"/>
      <c r="G243" s="58"/>
      <c r="H243" s="29"/>
    </row>
    <row r="244" spans="1:8" ht="18" x14ac:dyDescent="0.25">
      <c r="A244" s="34"/>
      <c r="B244" s="34"/>
      <c r="C244" s="29"/>
      <c r="D244" s="34"/>
      <c r="E244" s="68"/>
      <c r="F244" s="68"/>
      <c r="G244" s="58"/>
      <c r="H244" s="29"/>
    </row>
    <row r="245" spans="1:8" ht="18" x14ac:dyDescent="0.25">
      <c r="A245" s="34"/>
      <c r="B245" s="34"/>
      <c r="C245" s="29"/>
      <c r="D245" s="34"/>
      <c r="E245" s="68"/>
      <c r="F245" s="68"/>
      <c r="G245" s="58"/>
      <c r="H245" s="29"/>
    </row>
    <row r="246" spans="1:8" ht="18" x14ac:dyDescent="0.25">
      <c r="A246" s="34"/>
      <c r="B246" s="34"/>
      <c r="C246" s="29"/>
      <c r="D246" s="34"/>
      <c r="E246" s="68"/>
      <c r="F246" s="68"/>
      <c r="G246" s="58"/>
      <c r="H246" s="29"/>
    </row>
    <row r="247" spans="1:8" ht="18" x14ac:dyDescent="0.25">
      <c r="A247" s="34"/>
      <c r="B247" s="34"/>
      <c r="C247" s="29"/>
      <c r="D247" s="34"/>
      <c r="E247" s="68"/>
      <c r="F247" s="68"/>
      <c r="G247" s="58"/>
      <c r="H247" s="29"/>
    </row>
    <row r="248" spans="1:8" ht="18" x14ac:dyDescent="0.25">
      <c r="A248" s="34"/>
      <c r="B248" s="34"/>
      <c r="C248" s="29"/>
      <c r="D248" s="34"/>
      <c r="E248" s="68"/>
      <c r="F248" s="68"/>
      <c r="G248" s="58"/>
      <c r="H248" s="29"/>
    </row>
    <row r="249" spans="1:8" ht="18" x14ac:dyDescent="0.25">
      <c r="A249" s="34"/>
      <c r="B249" s="34"/>
      <c r="C249" s="29"/>
      <c r="D249" s="34"/>
      <c r="E249" s="68"/>
      <c r="F249" s="68"/>
      <c r="G249" s="58"/>
      <c r="H249" s="29"/>
    </row>
    <row r="250" spans="1:8" ht="18" x14ac:dyDescent="0.25">
      <c r="A250" s="34"/>
      <c r="B250" s="34"/>
      <c r="C250" s="29"/>
      <c r="D250" s="34"/>
      <c r="E250" s="68"/>
      <c r="F250" s="68"/>
      <c r="G250" s="58"/>
      <c r="H250" s="29"/>
    </row>
    <row r="251" spans="1:8" ht="18" x14ac:dyDescent="0.25">
      <c r="A251" s="34"/>
      <c r="B251" s="34"/>
      <c r="C251" s="29"/>
      <c r="D251" s="34"/>
      <c r="E251" s="68"/>
      <c r="F251" s="68"/>
      <c r="G251" s="58"/>
      <c r="H251" s="29"/>
    </row>
    <row r="252" spans="1:8" ht="18" x14ac:dyDescent="0.25">
      <c r="A252" s="34"/>
      <c r="B252" s="34"/>
      <c r="C252" s="29"/>
      <c r="D252" s="34"/>
      <c r="E252" s="68"/>
      <c r="F252" s="68"/>
      <c r="G252" s="58"/>
      <c r="H252" s="29"/>
    </row>
    <row r="253" spans="1:8" ht="18" x14ac:dyDescent="0.25">
      <c r="A253" s="34"/>
      <c r="B253" s="34"/>
      <c r="C253" s="29"/>
      <c r="D253" s="34"/>
      <c r="E253" s="68"/>
      <c r="F253" s="68"/>
      <c r="G253" s="58"/>
      <c r="H253" s="29"/>
    </row>
    <row r="254" spans="1:8" ht="18" x14ac:dyDescent="0.25">
      <c r="A254" s="34"/>
      <c r="B254" s="34"/>
      <c r="C254" s="29"/>
      <c r="D254" s="34"/>
      <c r="E254" s="68"/>
      <c r="F254" s="68"/>
      <c r="G254" s="58"/>
      <c r="H254" s="29"/>
    </row>
    <row r="255" spans="1:8" ht="18" x14ac:dyDescent="0.25">
      <c r="A255" s="34"/>
      <c r="B255" s="34"/>
      <c r="C255" s="29"/>
      <c r="D255" s="34"/>
      <c r="E255" s="68"/>
      <c r="F255" s="68"/>
      <c r="G255" s="58"/>
      <c r="H255" s="29"/>
    </row>
    <row r="256" spans="1:8" ht="18" x14ac:dyDescent="0.25">
      <c r="A256" s="34"/>
      <c r="B256" s="34"/>
      <c r="C256" s="29"/>
      <c r="D256" s="34"/>
      <c r="E256" s="68"/>
      <c r="F256" s="68"/>
      <c r="G256" s="58"/>
      <c r="H256" s="29"/>
    </row>
    <row r="257" spans="1:8" ht="18" x14ac:dyDescent="0.25">
      <c r="A257" s="34"/>
      <c r="B257" s="34"/>
      <c r="C257" s="29"/>
      <c r="D257" s="34"/>
      <c r="E257" s="68"/>
      <c r="F257" s="68"/>
      <c r="G257" s="58"/>
      <c r="H257" s="29"/>
    </row>
    <row r="258" spans="1:8" ht="18" x14ac:dyDescent="0.25">
      <c r="A258" s="34"/>
      <c r="B258" s="34"/>
      <c r="C258" s="29"/>
      <c r="D258" s="34"/>
      <c r="E258" s="68"/>
      <c r="F258" s="68"/>
      <c r="G258" s="58"/>
      <c r="H258" s="29"/>
    </row>
    <row r="259" spans="1:8" ht="18" x14ac:dyDescent="0.25">
      <c r="A259" s="34"/>
      <c r="B259" s="34"/>
      <c r="C259" s="29"/>
      <c r="D259" s="34"/>
      <c r="E259" s="68"/>
      <c r="F259" s="68"/>
      <c r="G259" s="58"/>
      <c r="H259" s="29"/>
    </row>
    <row r="260" spans="1:8" ht="18" x14ac:dyDescent="0.25">
      <c r="A260" s="34"/>
      <c r="B260" s="34"/>
      <c r="C260" s="29"/>
      <c r="D260" s="34"/>
      <c r="E260" s="68"/>
      <c r="F260" s="68"/>
      <c r="G260" s="58"/>
      <c r="H260" s="29"/>
    </row>
    <row r="261" spans="1:8" ht="18" x14ac:dyDescent="0.25">
      <c r="A261" s="34"/>
      <c r="B261" s="34"/>
      <c r="C261" s="29"/>
      <c r="D261" s="34"/>
      <c r="E261" s="68"/>
      <c r="F261" s="68"/>
      <c r="G261" s="58"/>
      <c r="H261" s="29"/>
    </row>
    <row r="262" spans="1:8" ht="18" x14ac:dyDescent="0.25">
      <c r="A262" s="34"/>
      <c r="B262" s="34"/>
      <c r="C262" s="29"/>
      <c r="D262" s="34"/>
      <c r="E262" s="68"/>
      <c r="F262" s="68"/>
      <c r="G262" s="58"/>
      <c r="H262" s="29"/>
    </row>
    <row r="263" spans="1:8" ht="18" x14ac:dyDescent="0.25">
      <c r="A263" s="34"/>
      <c r="B263" s="34"/>
      <c r="C263" s="29"/>
      <c r="D263" s="34"/>
      <c r="E263" s="68"/>
      <c r="F263" s="68"/>
      <c r="G263" s="58"/>
      <c r="H263" s="29"/>
    </row>
    <row r="264" spans="1:8" ht="18" x14ac:dyDescent="0.25">
      <c r="A264" s="34"/>
      <c r="B264" s="34"/>
      <c r="C264" s="29"/>
      <c r="D264" s="34"/>
      <c r="E264" s="68"/>
      <c r="F264" s="68"/>
      <c r="G264" s="58"/>
      <c r="H264" s="29"/>
    </row>
    <row r="265" spans="1:8" ht="18" x14ac:dyDescent="0.25">
      <c r="A265" s="34"/>
      <c r="B265" s="34"/>
      <c r="C265" s="29"/>
      <c r="D265" s="34"/>
      <c r="E265" s="68"/>
      <c r="F265" s="68"/>
      <c r="G265" s="58"/>
      <c r="H265" s="29"/>
    </row>
    <row r="266" spans="1:8" ht="18" x14ac:dyDescent="0.25">
      <c r="A266" s="34"/>
      <c r="B266" s="34"/>
      <c r="C266" s="29"/>
      <c r="D266" s="34"/>
      <c r="E266" s="68"/>
      <c r="F266" s="68"/>
      <c r="G266" s="58"/>
      <c r="H266" s="29"/>
    </row>
    <row r="267" spans="1:8" ht="18" x14ac:dyDescent="0.25">
      <c r="A267" s="34"/>
      <c r="B267" s="34"/>
      <c r="C267" s="29"/>
      <c r="D267" s="34"/>
      <c r="E267" s="68"/>
      <c r="F267" s="68"/>
      <c r="G267" s="58"/>
      <c r="H267" s="29"/>
    </row>
    <row r="268" spans="1:8" ht="18" x14ac:dyDescent="0.25">
      <c r="A268" s="34"/>
      <c r="B268" s="34"/>
      <c r="C268" s="29"/>
      <c r="D268" s="34"/>
      <c r="E268" s="68"/>
      <c r="F268" s="68"/>
      <c r="G268" s="58"/>
      <c r="H268" s="29"/>
    </row>
    <row r="269" spans="1:8" ht="18" x14ac:dyDescent="0.25">
      <c r="A269" s="34"/>
      <c r="B269" s="34"/>
      <c r="C269" s="29"/>
      <c r="D269" s="34"/>
      <c r="E269" s="68"/>
      <c r="F269" s="68"/>
      <c r="G269" s="58"/>
      <c r="H269" s="29"/>
    </row>
    <row r="270" spans="1:8" ht="18" x14ac:dyDescent="0.25">
      <c r="A270" s="34"/>
      <c r="B270" s="34"/>
      <c r="C270" s="29"/>
      <c r="D270" s="34"/>
      <c r="E270" s="68"/>
      <c r="F270" s="68"/>
      <c r="G270" s="58"/>
      <c r="H270" s="29"/>
    </row>
    <row r="271" spans="1:8" ht="18" x14ac:dyDescent="0.25">
      <c r="A271" s="34"/>
      <c r="B271" s="34"/>
      <c r="C271" s="29"/>
      <c r="D271" s="34"/>
      <c r="E271" s="68"/>
      <c r="F271" s="68"/>
      <c r="G271" s="58"/>
      <c r="H271" s="29"/>
    </row>
    <row r="272" spans="1:8" ht="18" x14ac:dyDescent="0.25">
      <c r="A272" s="34"/>
      <c r="B272" s="34"/>
      <c r="C272" s="29"/>
      <c r="D272" s="34"/>
      <c r="E272" s="68"/>
      <c r="F272" s="68"/>
      <c r="G272" s="58"/>
      <c r="H272" s="29"/>
    </row>
    <row r="273" spans="1:8" ht="18" x14ac:dyDescent="0.25">
      <c r="A273" s="34"/>
      <c r="B273" s="34"/>
      <c r="C273" s="29"/>
      <c r="D273" s="34"/>
      <c r="E273" s="68"/>
      <c r="F273" s="68"/>
      <c r="G273" s="58"/>
      <c r="H273" s="29"/>
    </row>
    <row r="274" spans="1:8" ht="18" x14ac:dyDescent="0.25">
      <c r="A274" s="34"/>
      <c r="B274" s="34"/>
      <c r="C274" s="29"/>
      <c r="D274" s="34"/>
      <c r="E274" s="68"/>
      <c r="F274" s="68"/>
      <c r="G274" s="58"/>
      <c r="H274" s="29"/>
    </row>
    <row r="275" spans="1:8" ht="18" x14ac:dyDescent="0.25">
      <c r="A275" s="34"/>
      <c r="B275" s="34"/>
      <c r="C275" s="29"/>
      <c r="D275" s="34"/>
      <c r="E275" s="68"/>
      <c r="F275" s="68"/>
      <c r="G275" s="58"/>
      <c r="H275" s="29"/>
    </row>
    <row r="276" spans="1:8" ht="18" x14ac:dyDescent="0.25">
      <c r="A276" s="34"/>
      <c r="B276" s="34"/>
      <c r="C276" s="29"/>
      <c r="D276" s="34"/>
      <c r="E276" s="68"/>
      <c r="F276" s="68"/>
      <c r="G276" s="58"/>
      <c r="H276" s="29"/>
    </row>
    <row r="277" spans="1:8" ht="18" x14ac:dyDescent="0.25">
      <c r="A277" s="34"/>
      <c r="B277" s="34"/>
      <c r="C277" s="29"/>
      <c r="D277" s="34"/>
      <c r="E277" s="68"/>
      <c r="F277" s="68"/>
      <c r="G277" s="58"/>
      <c r="H277" s="29"/>
    </row>
    <row r="278" spans="1:8" ht="18" x14ac:dyDescent="0.25">
      <c r="A278" s="34"/>
      <c r="B278" s="34"/>
      <c r="C278" s="29"/>
      <c r="D278" s="34"/>
      <c r="E278" s="68"/>
      <c r="F278" s="68"/>
      <c r="G278" s="58"/>
      <c r="H278" s="29"/>
    </row>
    <row r="279" spans="1:8" ht="18" x14ac:dyDescent="0.25">
      <c r="A279" s="34"/>
      <c r="B279" s="34"/>
      <c r="C279" s="29"/>
      <c r="D279" s="34"/>
      <c r="E279" s="68"/>
      <c r="F279" s="68"/>
      <c r="G279" s="58"/>
      <c r="H279" s="29"/>
    </row>
    <row r="280" spans="1:8" ht="18" x14ac:dyDescent="0.25">
      <c r="A280" s="34"/>
      <c r="B280" s="34"/>
      <c r="C280" s="29"/>
      <c r="D280" s="34"/>
      <c r="E280" s="68"/>
      <c r="F280" s="68"/>
      <c r="G280" s="58"/>
      <c r="H280" s="29"/>
    </row>
    <row r="281" spans="1:8" ht="18" x14ac:dyDescent="0.25">
      <c r="A281" s="34"/>
      <c r="B281" s="34"/>
      <c r="C281" s="29"/>
      <c r="D281" s="34"/>
      <c r="E281" s="68"/>
      <c r="F281" s="68"/>
      <c r="G281" s="58"/>
      <c r="H281" s="29"/>
    </row>
    <row r="282" spans="1:8" ht="18" x14ac:dyDescent="0.25">
      <c r="A282" s="34"/>
      <c r="B282" s="34"/>
      <c r="C282" s="29"/>
      <c r="D282" s="34"/>
      <c r="E282" s="68"/>
      <c r="F282" s="68"/>
      <c r="G282" s="58"/>
      <c r="H282" s="29"/>
    </row>
    <row r="283" spans="1:8" ht="18" x14ac:dyDescent="0.25">
      <c r="A283" s="34"/>
      <c r="B283" s="34"/>
      <c r="C283" s="29"/>
      <c r="D283" s="34"/>
      <c r="E283" s="68"/>
      <c r="F283" s="68"/>
      <c r="G283" s="58"/>
      <c r="H283" s="29"/>
    </row>
    <row r="284" spans="1:8" ht="18" x14ac:dyDescent="0.25">
      <c r="A284" s="34"/>
      <c r="B284" s="34"/>
      <c r="C284" s="29"/>
      <c r="D284" s="34"/>
      <c r="E284" s="68"/>
      <c r="F284" s="68"/>
      <c r="G284" s="58"/>
      <c r="H284" s="29"/>
    </row>
    <row r="285" spans="1:8" ht="18" x14ac:dyDescent="0.25">
      <c r="A285" s="34"/>
      <c r="B285" s="34"/>
      <c r="C285" s="29"/>
      <c r="D285" s="34"/>
      <c r="E285" s="68"/>
      <c r="F285" s="68"/>
      <c r="G285" s="58"/>
      <c r="H285" s="29"/>
    </row>
    <row r="286" spans="1:8" ht="18" x14ac:dyDescent="0.25">
      <c r="A286" s="34"/>
      <c r="B286" s="34"/>
      <c r="C286" s="29"/>
      <c r="D286" s="34"/>
      <c r="E286" s="68"/>
      <c r="F286" s="68"/>
      <c r="G286" s="58"/>
      <c r="H286" s="29"/>
    </row>
    <row r="287" spans="1:8" ht="18" x14ac:dyDescent="0.25">
      <c r="A287" s="34"/>
      <c r="B287" s="34"/>
      <c r="C287" s="29"/>
      <c r="D287" s="34"/>
      <c r="E287" s="68"/>
      <c r="F287" s="68"/>
      <c r="G287" s="58"/>
      <c r="H287" s="29"/>
    </row>
    <row r="288" spans="1:8" ht="18" x14ac:dyDescent="0.25">
      <c r="A288" s="34"/>
      <c r="B288" s="34"/>
      <c r="C288" s="29"/>
      <c r="D288" s="34"/>
      <c r="E288" s="68"/>
      <c r="F288" s="68"/>
      <c r="G288" s="58"/>
      <c r="H288" s="29"/>
    </row>
    <row r="289" spans="1:8" ht="18" x14ac:dyDescent="0.25">
      <c r="A289" s="34"/>
      <c r="B289" s="34"/>
      <c r="C289" s="29"/>
      <c r="D289" s="34"/>
      <c r="E289" s="68"/>
      <c r="F289" s="68"/>
      <c r="G289" s="58"/>
      <c r="H289" s="29"/>
    </row>
    <row r="290" spans="1:8" ht="18" x14ac:dyDescent="0.25">
      <c r="A290" s="34"/>
      <c r="B290" s="34"/>
      <c r="C290" s="29"/>
      <c r="D290" s="34"/>
      <c r="E290" s="68"/>
      <c r="F290" s="68"/>
      <c r="G290" s="58"/>
      <c r="H290" s="29"/>
    </row>
    <row r="291" spans="1:8" ht="18" x14ac:dyDescent="0.25">
      <c r="A291" s="34"/>
      <c r="B291" s="34"/>
      <c r="C291" s="29"/>
      <c r="D291" s="34"/>
      <c r="E291" s="68"/>
      <c r="F291" s="68"/>
      <c r="G291" s="58"/>
      <c r="H291" s="29"/>
    </row>
    <row r="292" spans="1:8" ht="18" x14ac:dyDescent="0.25">
      <c r="A292" s="34"/>
      <c r="B292" s="34"/>
      <c r="C292" s="29"/>
      <c r="D292" s="34"/>
      <c r="E292" s="68"/>
      <c r="F292" s="68"/>
      <c r="G292" s="58"/>
      <c r="H292" s="29"/>
    </row>
    <row r="293" spans="1:8" ht="18" x14ac:dyDescent="0.25">
      <c r="A293" s="34"/>
      <c r="B293" s="34"/>
      <c r="C293" s="29"/>
      <c r="D293" s="34"/>
      <c r="E293" s="68"/>
      <c r="F293" s="68"/>
      <c r="G293" s="58"/>
      <c r="H293" s="29"/>
    </row>
    <row r="294" spans="1:8" ht="18" x14ac:dyDescent="0.25">
      <c r="A294" s="34"/>
      <c r="B294" s="34"/>
      <c r="C294" s="29"/>
      <c r="D294" s="34"/>
      <c r="E294" s="68"/>
      <c r="F294" s="68"/>
      <c r="G294" s="58"/>
      <c r="H294" s="29"/>
    </row>
    <row r="295" spans="1:8" ht="18" x14ac:dyDescent="0.25">
      <c r="A295" s="34"/>
      <c r="B295" s="34"/>
      <c r="C295" s="29"/>
      <c r="D295" s="34"/>
      <c r="E295" s="68"/>
      <c r="F295" s="68"/>
      <c r="G295" s="58"/>
      <c r="H295" s="29"/>
    </row>
    <row r="296" spans="1:8" ht="18" x14ac:dyDescent="0.25">
      <c r="A296" s="34"/>
      <c r="B296" s="34"/>
      <c r="C296" s="29"/>
      <c r="D296" s="34"/>
      <c r="E296" s="68"/>
      <c r="F296" s="68"/>
      <c r="G296" s="58"/>
      <c r="H296" s="29"/>
    </row>
    <row r="297" spans="1:8" ht="18" x14ac:dyDescent="0.25">
      <c r="A297" s="34"/>
      <c r="B297" s="34"/>
      <c r="C297" s="29"/>
      <c r="D297" s="34"/>
      <c r="E297" s="68"/>
      <c r="F297" s="68"/>
      <c r="G297" s="58"/>
      <c r="H297" s="29"/>
    </row>
    <row r="298" spans="1:8" ht="18" x14ac:dyDescent="0.25">
      <c r="A298" s="34"/>
      <c r="B298" s="34"/>
      <c r="C298" s="29"/>
      <c r="D298" s="34"/>
      <c r="E298" s="68"/>
      <c r="F298" s="68"/>
      <c r="G298" s="58"/>
      <c r="H298" s="29"/>
    </row>
    <row r="299" spans="1:8" ht="18" x14ac:dyDescent="0.25">
      <c r="A299" s="34"/>
      <c r="B299" s="34"/>
      <c r="C299" s="29"/>
      <c r="D299" s="34"/>
      <c r="E299" s="68"/>
      <c r="F299" s="68"/>
      <c r="G299" s="58"/>
      <c r="H299" s="29"/>
    </row>
    <row r="300" spans="1:8" ht="18" x14ac:dyDescent="0.25">
      <c r="A300" s="34"/>
      <c r="B300" s="34"/>
      <c r="C300" s="29"/>
      <c r="D300" s="34"/>
      <c r="E300" s="68"/>
      <c r="F300" s="68"/>
      <c r="G300" s="58"/>
      <c r="H300" s="29"/>
    </row>
    <row r="301" spans="1:8" ht="18" x14ac:dyDescent="0.25">
      <c r="A301" s="34"/>
      <c r="B301" s="34"/>
      <c r="C301" s="29"/>
      <c r="D301" s="34"/>
      <c r="E301" s="68"/>
      <c r="F301" s="68"/>
      <c r="G301" s="58"/>
      <c r="H301" s="29"/>
    </row>
    <row r="302" spans="1:8" ht="18" x14ac:dyDescent="0.25">
      <c r="A302" s="34"/>
      <c r="B302" s="34"/>
      <c r="C302" s="29"/>
      <c r="D302" s="34"/>
      <c r="E302" s="68"/>
      <c r="F302" s="68"/>
      <c r="G302" s="58"/>
      <c r="H302" s="29"/>
    </row>
    <row r="303" spans="1:8" ht="18" x14ac:dyDescent="0.25">
      <c r="A303" s="34"/>
      <c r="B303" s="34"/>
      <c r="C303" s="29"/>
      <c r="D303" s="34"/>
      <c r="E303" s="68"/>
      <c r="F303" s="68"/>
      <c r="G303" s="58"/>
      <c r="H303" s="29"/>
    </row>
    <row r="304" spans="1:8" ht="18" x14ac:dyDescent="0.25">
      <c r="A304" s="34"/>
      <c r="B304" s="34"/>
      <c r="C304" s="29"/>
      <c r="D304" s="34"/>
      <c r="E304" s="68"/>
      <c r="F304" s="68"/>
      <c r="G304" s="58"/>
      <c r="H304" s="29"/>
    </row>
    <row r="305" spans="1:8" ht="18" x14ac:dyDescent="0.25">
      <c r="A305" s="34"/>
      <c r="B305" s="34"/>
      <c r="C305" s="29"/>
      <c r="D305" s="34"/>
      <c r="E305" s="68"/>
      <c r="F305" s="68"/>
      <c r="G305" s="58"/>
      <c r="H305" s="29"/>
    </row>
    <row r="306" spans="1:8" ht="18" x14ac:dyDescent="0.25">
      <c r="A306" s="34"/>
      <c r="B306" s="34"/>
      <c r="C306" s="29"/>
      <c r="D306" s="34"/>
      <c r="E306" s="68"/>
      <c r="F306" s="68"/>
      <c r="G306" s="58"/>
      <c r="H306" s="29"/>
    </row>
    <row r="307" spans="1:8" ht="18" x14ac:dyDescent="0.25">
      <c r="A307" s="34"/>
      <c r="B307" s="34"/>
      <c r="C307" s="29"/>
      <c r="D307" s="34"/>
      <c r="E307" s="68"/>
      <c r="F307" s="68"/>
      <c r="G307" s="58"/>
      <c r="H307" s="29"/>
    </row>
    <row r="308" spans="1:8" ht="18" x14ac:dyDescent="0.25">
      <c r="A308" s="34"/>
      <c r="B308" s="34"/>
      <c r="C308" s="29"/>
      <c r="D308" s="34"/>
      <c r="E308" s="68"/>
      <c r="F308" s="68"/>
      <c r="G308" s="58"/>
      <c r="H308" s="29"/>
    </row>
    <row r="309" spans="1:8" ht="18" x14ac:dyDescent="0.25">
      <c r="A309" s="34"/>
      <c r="B309" s="34"/>
      <c r="C309" s="29"/>
      <c r="D309" s="34"/>
      <c r="E309" s="68"/>
      <c r="F309" s="68"/>
      <c r="G309" s="58"/>
      <c r="H309" s="29"/>
    </row>
    <row r="310" spans="1:8" ht="18" x14ac:dyDescent="0.25">
      <c r="A310" s="34"/>
      <c r="B310" s="34"/>
      <c r="C310" s="29"/>
      <c r="D310" s="34"/>
      <c r="E310" s="68"/>
      <c r="F310" s="68"/>
      <c r="G310" s="58"/>
      <c r="H310" s="29"/>
    </row>
    <row r="311" spans="1:8" ht="18" x14ac:dyDescent="0.25">
      <c r="A311" s="34"/>
      <c r="B311" s="34"/>
      <c r="C311" s="29"/>
      <c r="D311" s="34"/>
      <c r="E311" s="68"/>
      <c r="F311" s="68"/>
      <c r="G311" s="58"/>
      <c r="H311" s="29"/>
    </row>
    <row r="312" spans="1:8" ht="18" x14ac:dyDescent="0.25">
      <c r="A312" s="34"/>
      <c r="B312" s="34"/>
      <c r="C312" s="29"/>
      <c r="D312" s="34"/>
      <c r="E312" s="68"/>
      <c r="F312" s="68"/>
      <c r="G312" s="58"/>
      <c r="H312" s="29"/>
    </row>
    <row r="313" spans="1:8" ht="18" x14ac:dyDescent="0.25">
      <c r="A313" s="34"/>
      <c r="B313" s="34"/>
      <c r="C313" s="29"/>
      <c r="D313" s="34"/>
      <c r="E313" s="68"/>
      <c r="F313" s="68"/>
      <c r="G313" s="58"/>
      <c r="H313" s="29"/>
    </row>
    <row r="314" spans="1:8" ht="18" x14ac:dyDescent="0.25">
      <c r="A314" s="34"/>
      <c r="B314" s="34"/>
      <c r="C314" s="29"/>
      <c r="D314" s="34"/>
      <c r="E314" s="68"/>
      <c r="F314" s="68"/>
      <c r="G314" s="58"/>
      <c r="H314" s="29"/>
    </row>
    <row r="315" spans="1:8" ht="18" x14ac:dyDescent="0.25">
      <c r="A315" s="34"/>
      <c r="B315" s="34"/>
      <c r="C315" s="29"/>
      <c r="D315" s="34"/>
      <c r="E315" s="68"/>
      <c r="F315" s="68"/>
      <c r="G315" s="58"/>
      <c r="H315" s="29"/>
    </row>
    <row r="316" spans="1:8" ht="18" x14ac:dyDescent="0.25">
      <c r="A316" s="34"/>
      <c r="B316" s="34"/>
      <c r="C316" s="29"/>
      <c r="D316" s="34"/>
      <c r="E316" s="68"/>
      <c r="F316" s="68"/>
      <c r="G316" s="58"/>
      <c r="H316" s="29"/>
    </row>
    <row r="317" spans="1:8" ht="18" x14ac:dyDescent="0.25">
      <c r="A317" s="34"/>
      <c r="B317" s="34"/>
      <c r="C317" s="29"/>
      <c r="D317" s="34"/>
      <c r="E317" s="68"/>
      <c r="F317" s="68"/>
      <c r="G317" s="58"/>
      <c r="H317" s="29"/>
    </row>
    <row r="318" spans="1:8" ht="18" x14ac:dyDescent="0.25">
      <c r="A318" s="34"/>
      <c r="B318" s="34"/>
      <c r="C318" s="29"/>
      <c r="D318" s="34"/>
      <c r="E318" s="68"/>
      <c r="F318" s="68"/>
      <c r="G318" s="58"/>
      <c r="H318" s="29"/>
    </row>
    <row r="319" spans="1:8" ht="18" x14ac:dyDescent="0.25">
      <c r="A319" s="34"/>
      <c r="B319" s="34"/>
      <c r="C319" s="29"/>
      <c r="D319" s="34"/>
      <c r="E319" s="68"/>
      <c r="F319" s="68"/>
      <c r="G319" s="58"/>
      <c r="H319" s="29"/>
    </row>
    <row r="320" spans="1:8" ht="18" x14ac:dyDescent="0.25">
      <c r="A320" s="34"/>
      <c r="B320" s="34"/>
      <c r="C320" s="29"/>
      <c r="D320" s="34"/>
      <c r="E320" s="68"/>
      <c r="F320" s="68"/>
      <c r="G320" s="58"/>
      <c r="H320" s="29"/>
    </row>
    <row r="321" spans="1:8" ht="18" x14ac:dyDescent="0.25">
      <c r="A321" s="34"/>
      <c r="B321" s="34"/>
      <c r="C321" s="29"/>
      <c r="D321" s="34"/>
      <c r="E321" s="68"/>
      <c r="F321" s="68"/>
      <c r="G321" s="58"/>
      <c r="H321" s="29"/>
    </row>
    <row r="322" spans="1:8" ht="18" x14ac:dyDescent="0.25">
      <c r="A322" s="34"/>
      <c r="B322" s="34"/>
      <c r="C322" s="29"/>
      <c r="D322" s="34"/>
      <c r="E322" s="68"/>
      <c r="F322" s="68"/>
      <c r="G322" s="58"/>
      <c r="H322" s="29"/>
    </row>
    <row r="323" spans="1:8" ht="18" x14ac:dyDescent="0.25">
      <c r="A323" s="34"/>
      <c r="B323" s="34"/>
      <c r="C323" s="29"/>
      <c r="D323" s="34"/>
      <c r="E323" s="68"/>
      <c r="F323" s="68"/>
      <c r="G323" s="58"/>
      <c r="H323" s="29"/>
    </row>
    <row r="324" spans="1:8" ht="18" x14ac:dyDescent="0.25">
      <c r="A324" s="34"/>
      <c r="B324" s="34"/>
      <c r="C324" s="29"/>
      <c r="D324" s="34"/>
      <c r="E324" s="68"/>
      <c r="F324" s="68"/>
      <c r="G324" s="58"/>
      <c r="H324" s="29"/>
    </row>
    <row r="325" spans="1:8" ht="18" x14ac:dyDescent="0.25">
      <c r="A325" s="34"/>
      <c r="B325" s="34"/>
      <c r="C325" s="29"/>
      <c r="D325" s="34"/>
      <c r="E325" s="68"/>
      <c r="F325" s="68"/>
      <c r="G325" s="58"/>
      <c r="H325" s="29"/>
    </row>
    <row r="326" spans="1:8" ht="18" x14ac:dyDescent="0.25">
      <c r="A326" s="34"/>
      <c r="B326" s="34"/>
      <c r="C326" s="29"/>
      <c r="D326" s="34"/>
      <c r="E326" s="68"/>
      <c r="F326" s="68"/>
      <c r="G326" s="58"/>
      <c r="H326" s="29"/>
    </row>
    <row r="327" spans="1:8" ht="18" x14ac:dyDescent="0.25">
      <c r="A327" s="34"/>
      <c r="B327" s="34"/>
      <c r="C327" s="29"/>
      <c r="D327" s="34"/>
      <c r="E327" s="68"/>
      <c r="F327" s="68"/>
      <c r="G327" s="58"/>
      <c r="H327" s="29"/>
    </row>
    <row r="328" spans="1:8" ht="18" x14ac:dyDescent="0.25">
      <c r="A328" s="34"/>
      <c r="B328" s="34"/>
      <c r="C328" s="29"/>
      <c r="D328" s="34"/>
      <c r="E328" s="68"/>
      <c r="F328" s="68"/>
      <c r="G328" s="58"/>
      <c r="H328" s="29"/>
    </row>
    <row r="329" spans="1:8" ht="18" x14ac:dyDescent="0.25">
      <c r="A329" s="34"/>
      <c r="B329" s="34"/>
      <c r="C329" s="29"/>
      <c r="D329" s="34"/>
      <c r="E329" s="68"/>
      <c r="F329" s="68"/>
      <c r="G329" s="58"/>
      <c r="H329" s="29"/>
    </row>
    <row r="330" spans="1:8" ht="18" x14ac:dyDescent="0.25">
      <c r="A330" s="34"/>
      <c r="B330" s="34"/>
      <c r="C330" s="29"/>
      <c r="D330" s="34"/>
      <c r="E330" s="68"/>
      <c r="F330" s="68"/>
      <c r="G330" s="58"/>
      <c r="H330" s="29"/>
    </row>
    <row r="331" spans="1:8" ht="18" x14ac:dyDescent="0.25">
      <c r="A331" s="34"/>
      <c r="B331" s="34"/>
      <c r="C331" s="29"/>
      <c r="D331" s="34"/>
      <c r="E331" s="68"/>
      <c r="F331" s="68"/>
      <c r="G331" s="58"/>
      <c r="H331" s="29"/>
    </row>
    <row r="332" spans="1:8" ht="18" x14ac:dyDescent="0.25">
      <c r="A332" s="34"/>
      <c r="B332" s="34"/>
      <c r="C332" s="29"/>
      <c r="D332" s="34"/>
      <c r="E332" s="68"/>
      <c r="F332" s="68"/>
      <c r="G332" s="58"/>
      <c r="H332" s="29"/>
    </row>
    <row r="333" spans="1:8" ht="18" x14ac:dyDescent="0.25">
      <c r="A333" s="34"/>
      <c r="B333" s="34"/>
      <c r="C333" s="29"/>
      <c r="D333" s="34"/>
      <c r="E333" s="68"/>
      <c r="F333" s="68"/>
      <c r="G333" s="58"/>
      <c r="H333" s="29"/>
    </row>
    <row r="334" spans="1:8" ht="18" x14ac:dyDescent="0.25">
      <c r="A334" s="34"/>
      <c r="B334" s="34"/>
      <c r="C334" s="29"/>
      <c r="D334" s="34"/>
      <c r="E334" s="68"/>
      <c r="F334" s="68"/>
      <c r="G334" s="58"/>
      <c r="H334" s="29"/>
    </row>
    <row r="335" spans="1:8" ht="18" x14ac:dyDescent="0.25">
      <c r="A335" s="34"/>
      <c r="B335" s="34"/>
      <c r="C335" s="29"/>
      <c r="D335" s="34"/>
      <c r="E335" s="68"/>
      <c r="F335" s="68"/>
      <c r="G335" s="58"/>
      <c r="H335" s="29"/>
    </row>
    <row r="336" spans="1:8" ht="18" x14ac:dyDescent="0.25">
      <c r="A336" s="34"/>
      <c r="B336" s="34"/>
      <c r="C336" s="29"/>
      <c r="D336" s="34"/>
      <c r="E336" s="68"/>
      <c r="F336" s="68"/>
      <c r="G336" s="58"/>
      <c r="H336" s="29"/>
    </row>
    <row r="337" spans="1:8" ht="18" x14ac:dyDescent="0.25">
      <c r="A337" s="34"/>
      <c r="B337" s="34"/>
      <c r="C337" s="29"/>
      <c r="D337" s="34"/>
      <c r="E337" s="68"/>
      <c r="F337" s="68"/>
      <c r="G337" s="58"/>
      <c r="H337" s="29"/>
    </row>
    <row r="397" spans="2:2" x14ac:dyDescent="0.25">
      <c r="B397" s="33" t="s">
        <v>229</v>
      </c>
    </row>
  </sheetData>
  <autoFilter ref="A3:H91" xr:uid="{17E6F118-3878-4B08-9770-97E98989CF44}"/>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6C93E-E4E6-4212-A1AE-6CCBA718A489}">
  <sheetPr>
    <tabColor rgb="FFFFC000"/>
  </sheetPr>
  <dimension ref="A1:AI446"/>
  <sheetViews>
    <sheetView tabSelected="1" zoomScaleNormal="100" workbookViewId="0">
      <pane xSplit="6" ySplit="1" topLeftCell="G61" activePane="bottomRight" state="frozen"/>
      <selection pane="topRight" activeCell="F1" sqref="F1"/>
      <selection pane="bottomLeft" activeCell="A2" sqref="A2"/>
      <selection pane="bottomRight" activeCell="E77" sqref="E77"/>
    </sheetView>
  </sheetViews>
  <sheetFormatPr defaultRowHeight="15" x14ac:dyDescent="0.25"/>
  <cols>
    <col min="1" max="2" width="10.85546875" style="33" bestFit="1" customWidth="1"/>
    <col min="3" max="3" width="12.28515625" style="1" customWidth="1"/>
    <col min="4" max="4" width="17.42578125" style="89" bestFit="1" customWidth="1"/>
    <col min="5" max="5" width="18.7109375" style="91" bestFit="1" customWidth="1"/>
    <col min="6" max="6" width="54" style="89" customWidth="1"/>
    <col min="7" max="7" width="12.28515625" style="1" customWidth="1"/>
    <col min="8" max="8" width="17.85546875" style="98" bestFit="1" customWidth="1"/>
    <col min="9" max="9" width="10.7109375" style="103" customWidth="1"/>
    <col min="10" max="10" width="10.42578125" style="33" customWidth="1"/>
    <col min="11" max="11" width="16" style="33" bestFit="1" customWidth="1"/>
    <col min="12" max="12" width="16" style="33" customWidth="1"/>
    <col min="13" max="13" width="15" style="67" bestFit="1" customWidth="1"/>
    <col min="14" max="14" width="57.28515625" style="7" customWidth="1"/>
    <col min="15" max="15" width="40.140625" customWidth="1"/>
    <col min="16" max="16" width="165" style="90" customWidth="1"/>
    <col min="35" max="35" width="9.140625" style="91"/>
  </cols>
  <sheetData>
    <row r="1" spans="1:35" s="7" customFormat="1" ht="36" x14ac:dyDescent="0.25">
      <c r="A1" s="100" t="s">
        <v>267</v>
      </c>
      <c r="B1" s="66" t="s">
        <v>265</v>
      </c>
      <c r="C1" s="87" t="s">
        <v>2</v>
      </c>
      <c r="D1" s="133" t="s">
        <v>230</v>
      </c>
      <c r="E1" s="101" t="s">
        <v>250</v>
      </c>
      <c r="F1" s="66" t="s">
        <v>3</v>
      </c>
      <c r="G1" s="66" t="s">
        <v>335</v>
      </c>
      <c r="H1" s="106" t="s">
        <v>641</v>
      </c>
      <c r="I1" s="102" t="s">
        <v>337</v>
      </c>
      <c r="J1" s="66" t="s">
        <v>4</v>
      </c>
      <c r="K1" s="66" t="s">
        <v>642</v>
      </c>
      <c r="L1" s="88" t="s">
        <v>270</v>
      </c>
      <c r="M1" s="88" t="s">
        <v>238</v>
      </c>
      <c r="N1" s="87" t="s">
        <v>501</v>
      </c>
      <c r="O1" s="87" t="s">
        <v>253</v>
      </c>
      <c r="P1" s="88" t="s">
        <v>583</v>
      </c>
      <c r="AI1" s="99" t="s">
        <v>336</v>
      </c>
    </row>
    <row r="2" spans="1:35" s="32" customFormat="1" x14ac:dyDescent="0.25">
      <c r="A2" s="33" t="s">
        <v>514</v>
      </c>
      <c r="B2" s="33" t="s">
        <v>266</v>
      </c>
      <c r="C2" s="33" t="s">
        <v>187</v>
      </c>
      <c r="D2" s="54" t="s">
        <v>410</v>
      </c>
      <c r="E2" s="132">
        <v>46044</v>
      </c>
      <c r="F2" t="s">
        <v>483</v>
      </c>
      <c r="G2" s="33" t="str">
        <f>A2</f>
        <v>FY26</v>
      </c>
      <c r="H2" s="98">
        <f t="shared" ref="H2:H32" si="0">E2-1</f>
        <v>46043</v>
      </c>
      <c r="I2" s="103">
        <v>0.625</v>
      </c>
      <c r="J2" s="33">
        <v>30</v>
      </c>
      <c r="K2" s="1" t="s">
        <v>142</v>
      </c>
      <c r="L2" s="1" t="s">
        <v>142</v>
      </c>
      <c r="M2" s="1" t="s">
        <v>484</v>
      </c>
      <c r="N2" s="32" t="s">
        <v>517</v>
      </c>
      <c r="P2" s="92"/>
      <c r="AI2" s="91"/>
    </row>
    <row r="3" spans="1:35" s="32" customFormat="1" x14ac:dyDescent="0.25">
      <c r="A3" s="33" t="s">
        <v>514</v>
      </c>
      <c r="B3" s="33" t="s">
        <v>266</v>
      </c>
      <c r="C3" s="33" t="s">
        <v>187</v>
      </c>
      <c r="D3" s="54" t="s">
        <v>410</v>
      </c>
      <c r="E3" s="132">
        <v>46044</v>
      </c>
      <c r="F3" t="s">
        <v>482</v>
      </c>
      <c r="G3" s="33" t="str">
        <f>A3</f>
        <v>FY26</v>
      </c>
      <c r="H3" s="98">
        <f t="shared" si="0"/>
        <v>46043</v>
      </c>
      <c r="I3" s="103">
        <v>0.625</v>
      </c>
      <c r="J3" s="33">
        <v>30</v>
      </c>
      <c r="K3" s="1" t="s">
        <v>142</v>
      </c>
      <c r="L3" s="1" t="s">
        <v>142</v>
      </c>
      <c r="M3" s="1" t="s">
        <v>481</v>
      </c>
      <c r="P3" s="92"/>
      <c r="AI3" s="91">
        <f t="shared" ref="AI3:AI21" si="1">H3</f>
        <v>46043</v>
      </c>
    </row>
    <row r="4" spans="1:35" s="32" customFormat="1" x14ac:dyDescent="0.25">
      <c r="A4" s="33" t="s">
        <v>514</v>
      </c>
      <c r="B4" s="33" t="s">
        <v>266</v>
      </c>
      <c r="C4" s="33" t="s">
        <v>187</v>
      </c>
      <c r="D4" s="54" t="s">
        <v>410</v>
      </c>
      <c r="E4" s="132">
        <v>46044</v>
      </c>
      <c r="F4" t="s">
        <v>505</v>
      </c>
      <c r="G4" s="33" t="str">
        <f>A4</f>
        <v>FY26</v>
      </c>
      <c r="H4" s="98">
        <f t="shared" si="0"/>
        <v>46043</v>
      </c>
      <c r="I4" s="103">
        <v>0.625</v>
      </c>
      <c r="J4" s="33">
        <v>30</v>
      </c>
      <c r="K4" s="1" t="s">
        <v>142</v>
      </c>
      <c r="L4" s="1" t="s">
        <v>142</v>
      </c>
      <c r="M4" s="1" t="s">
        <v>481</v>
      </c>
      <c r="N4" s="32" t="s">
        <v>646</v>
      </c>
      <c r="P4" s="92"/>
      <c r="AI4" s="91">
        <f t="shared" si="1"/>
        <v>46043</v>
      </c>
    </row>
    <row r="5" spans="1:35" s="32" customFormat="1" x14ac:dyDescent="0.25">
      <c r="A5" s="33" t="s">
        <v>514</v>
      </c>
      <c r="B5" s="33" t="s">
        <v>266</v>
      </c>
      <c r="C5" s="33" t="s">
        <v>187</v>
      </c>
      <c r="D5" s="54" t="s">
        <v>231</v>
      </c>
      <c r="E5" s="132">
        <v>46045</v>
      </c>
      <c r="F5" t="s">
        <v>505</v>
      </c>
      <c r="G5" s="33" t="str">
        <f>A5</f>
        <v>FY26</v>
      </c>
      <c r="H5" s="98">
        <f t="shared" si="0"/>
        <v>46044</v>
      </c>
      <c r="I5" s="103">
        <v>0.625</v>
      </c>
      <c r="J5" s="33">
        <v>30</v>
      </c>
      <c r="K5" s="1" t="s">
        <v>271</v>
      </c>
      <c r="L5" s="1" t="s">
        <v>142</v>
      </c>
      <c r="M5" s="1" t="s">
        <v>237</v>
      </c>
      <c r="N5" s="32" t="s">
        <v>646</v>
      </c>
      <c r="P5" s="92"/>
      <c r="AI5" s="91">
        <f t="shared" si="1"/>
        <v>46044</v>
      </c>
    </row>
    <row r="6" spans="1:35" s="32" customFormat="1" x14ac:dyDescent="0.25">
      <c r="A6" s="33" t="e">
        <f>IF(ISBLANK(E6),"",_xlfn.XLOOKUP(E6,Info!A:A,Info!B:B))</f>
        <v>#N/A</v>
      </c>
      <c r="B6" s="33" t="s">
        <v>266</v>
      </c>
      <c r="C6" s="33" t="s">
        <v>187</v>
      </c>
      <c r="D6" s="54" t="s">
        <v>239</v>
      </c>
      <c r="E6" s="91">
        <v>46051</v>
      </c>
      <c r="F6" s="54" t="s">
        <v>605</v>
      </c>
      <c r="G6" s="33" t="e">
        <f>IF(ISBLANK(H6),"",_xlfn.XLOOKUP(H6,Info!A:A,Info!B:B))</f>
        <v>#N/A</v>
      </c>
      <c r="H6" s="98">
        <f t="shared" si="0"/>
        <v>46050</v>
      </c>
      <c r="I6" s="103">
        <v>0.66666666666666663</v>
      </c>
      <c r="J6" s="33">
        <v>30</v>
      </c>
      <c r="K6" s="33" t="s">
        <v>207</v>
      </c>
      <c r="L6" s="33" t="s">
        <v>244</v>
      </c>
      <c r="M6" s="67" t="s">
        <v>247</v>
      </c>
      <c r="N6" s="92" t="s">
        <v>602</v>
      </c>
      <c r="O6" s="118" t="s">
        <v>603</v>
      </c>
      <c r="P6" s="92" t="s">
        <v>604</v>
      </c>
      <c r="AI6" s="91">
        <f t="shared" si="1"/>
        <v>46050</v>
      </c>
    </row>
    <row r="7" spans="1:35" s="32" customFormat="1" x14ac:dyDescent="0.25">
      <c r="A7" s="33">
        <f>IF(ISBLANK(E7),"",_xlfn.XLOOKUP(E7,Info!A:A,Info!B:B))</f>
        <v>1</v>
      </c>
      <c r="B7" s="33" t="s">
        <v>266</v>
      </c>
      <c r="C7" s="33" t="s">
        <v>187</v>
      </c>
      <c r="D7" s="134" t="s">
        <v>622</v>
      </c>
      <c r="E7" s="132">
        <v>46056</v>
      </c>
      <c r="F7" t="s">
        <v>510</v>
      </c>
      <c r="G7" s="33">
        <f>IF(ISBLANK(H7),"",_xlfn.XLOOKUP(H7,Info!A:A,Info!B:B))</f>
        <v>1</v>
      </c>
      <c r="H7" s="98">
        <f t="shared" si="0"/>
        <v>46055</v>
      </c>
      <c r="I7" s="103">
        <v>0.625</v>
      </c>
      <c r="J7" s="33">
        <v>30</v>
      </c>
      <c r="K7" s="33" t="s">
        <v>243</v>
      </c>
      <c r="L7" s="1" t="s">
        <v>142</v>
      </c>
      <c r="M7" s="1" t="s">
        <v>511</v>
      </c>
      <c r="N7" s="92" t="s">
        <v>518</v>
      </c>
      <c r="P7" s="92"/>
      <c r="AI7" s="91">
        <f t="shared" si="1"/>
        <v>46055</v>
      </c>
    </row>
    <row r="8" spans="1:35" s="32" customFormat="1" x14ac:dyDescent="0.25">
      <c r="A8" s="33">
        <f>IF(ISBLANK(E8),"",_xlfn.XLOOKUP(E8,Info!A:A,Info!B:B))</f>
        <v>1</v>
      </c>
      <c r="B8" s="33" t="s">
        <v>266</v>
      </c>
      <c r="C8" s="33" t="s">
        <v>187</v>
      </c>
      <c r="D8" s="134" t="s">
        <v>622</v>
      </c>
      <c r="E8" s="132">
        <v>46056</v>
      </c>
      <c r="F8" t="s">
        <v>509</v>
      </c>
      <c r="G8" s="33">
        <f>IF(ISBLANK(H8),"",_xlfn.XLOOKUP(H8,Info!A:A,Info!B:B))</f>
        <v>1</v>
      </c>
      <c r="H8" s="98">
        <f t="shared" si="0"/>
        <v>46055</v>
      </c>
      <c r="I8" s="103">
        <v>0.625</v>
      </c>
      <c r="J8" s="33">
        <v>30</v>
      </c>
      <c r="K8" s="33" t="s">
        <v>243</v>
      </c>
      <c r="L8" s="1" t="s">
        <v>142</v>
      </c>
      <c r="M8" s="1" t="s">
        <v>511</v>
      </c>
      <c r="N8" s="92" t="s">
        <v>518</v>
      </c>
      <c r="P8" s="92"/>
      <c r="AI8" s="91">
        <f t="shared" si="1"/>
        <v>46055</v>
      </c>
    </row>
    <row r="9" spans="1:35" s="32" customFormat="1" x14ac:dyDescent="0.25">
      <c r="A9" s="33">
        <f>IF(ISBLANK(E9),"",_xlfn.XLOOKUP(E9,Info!A:A,Info!B:B))</f>
        <v>1</v>
      </c>
      <c r="B9" s="33" t="s">
        <v>266</v>
      </c>
      <c r="C9" s="33" t="s">
        <v>187</v>
      </c>
      <c r="D9" s="134" t="s">
        <v>622</v>
      </c>
      <c r="E9" s="132">
        <v>46056</v>
      </c>
      <c r="F9" t="s">
        <v>482</v>
      </c>
      <c r="G9" s="33">
        <f>IF(ISBLANK(H9),"",_xlfn.XLOOKUP(H9,Info!A:A,Info!B:B))</f>
        <v>1</v>
      </c>
      <c r="H9" s="98">
        <f t="shared" si="0"/>
        <v>46055</v>
      </c>
      <c r="I9" s="103">
        <v>0.625</v>
      </c>
      <c r="J9" s="33">
        <v>30</v>
      </c>
      <c r="K9" s="33" t="s">
        <v>243</v>
      </c>
      <c r="L9" s="1" t="s">
        <v>142</v>
      </c>
      <c r="M9" s="1" t="s">
        <v>492</v>
      </c>
      <c r="N9" s="92"/>
      <c r="P9" s="92"/>
      <c r="AI9" s="91">
        <f t="shared" si="1"/>
        <v>46055</v>
      </c>
    </row>
    <row r="10" spans="1:35" s="32" customFormat="1" x14ac:dyDescent="0.25">
      <c r="A10" s="33">
        <f>IF(ISBLANK(E10),"",_xlfn.XLOOKUP(E10,Info!A:A,Info!B:B))</f>
        <v>1</v>
      </c>
      <c r="B10" s="33" t="s">
        <v>266</v>
      </c>
      <c r="C10" s="33" t="s">
        <v>187</v>
      </c>
      <c r="D10" s="134" t="s">
        <v>622</v>
      </c>
      <c r="E10" s="132">
        <v>46056</v>
      </c>
      <c r="F10" t="s">
        <v>505</v>
      </c>
      <c r="G10" s="33">
        <f>IF(ISBLANK(H10),"",_xlfn.XLOOKUP(H10,Info!A:A,Info!B:B))</f>
        <v>1</v>
      </c>
      <c r="H10" s="98">
        <f t="shared" si="0"/>
        <v>46055</v>
      </c>
      <c r="I10" s="103">
        <v>0.625</v>
      </c>
      <c r="J10" s="33">
        <v>30</v>
      </c>
      <c r="K10" s="33" t="s">
        <v>243</v>
      </c>
      <c r="L10" s="1" t="s">
        <v>142</v>
      </c>
      <c r="M10" s="1" t="s">
        <v>481</v>
      </c>
      <c r="N10" s="92" t="s">
        <v>646</v>
      </c>
      <c r="P10" s="92"/>
      <c r="AI10" s="91">
        <f t="shared" si="1"/>
        <v>46055</v>
      </c>
    </row>
    <row r="11" spans="1:35" s="32" customFormat="1" x14ac:dyDescent="0.25">
      <c r="A11" s="33">
        <f>IF(ISBLANK(E11),"",_xlfn.XLOOKUP(E11,Info!A:A,Info!B:B))</f>
        <v>3</v>
      </c>
      <c r="B11" s="33" t="s">
        <v>266</v>
      </c>
      <c r="C11" s="33" t="s">
        <v>187</v>
      </c>
      <c r="D11" s="54" t="s">
        <v>410</v>
      </c>
      <c r="E11" s="132">
        <v>46073</v>
      </c>
      <c r="F11" t="s">
        <v>485</v>
      </c>
      <c r="G11" s="33">
        <f>IF(ISBLANK(H11),"",_xlfn.XLOOKUP(H11,Info!A:A,Info!B:B))</f>
        <v>3</v>
      </c>
      <c r="H11" s="98">
        <f t="shared" si="0"/>
        <v>46072</v>
      </c>
      <c r="I11" s="103">
        <v>0.625</v>
      </c>
      <c r="J11" s="33">
        <v>30</v>
      </c>
      <c r="K11" s="1" t="s">
        <v>207</v>
      </c>
      <c r="L11" s="1" t="s">
        <v>142</v>
      </c>
      <c r="M11" s="1" t="s">
        <v>481</v>
      </c>
      <c r="N11" s="32" t="s">
        <v>565</v>
      </c>
      <c r="P11" s="92"/>
      <c r="AI11" s="91">
        <f t="shared" si="1"/>
        <v>46072</v>
      </c>
    </row>
    <row r="12" spans="1:35" s="32" customFormat="1" x14ac:dyDescent="0.25">
      <c r="A12" s="33">
        <f>IF(ISBLANK(E12),"",_xlfn.XLOOKUP(E12,Info!A:A,Info!B:B))</f>
        <v>3</v>
      </c>
      <c r="B12" s="33" t="s">
        <v>266</v>
      </c>
      <c r="C12" s="33" t="s">
        <v>187</v>
      </c>
      <c r="D12" s="54" t="s">
        <v>410</v>
      </c>
      <c r="E12" s="132">
        <v>46073</v>
      </c>
      <c r="F12" t="s">
        <v>486</v>
      </c>
      <c r="G12" s="33">
        <f>IF(ISBLANK(H12),"",_xlfn.XLOOKUP(H12,Info!A:A,Info!B:B))</f>
        <v>3</v>
      </c>
      <c r="H12" s="98">
        <f t="shared" si="0"/>
        <v>46072</v>
      </c>
      <c r="I12" s="103">
        <v>0.625</v>
      </c>
      <c r="J12" s="33">
        <v>30</v>
      </c>
      <c r="K12" s="1" t="s">
        <v>207</v>
      </c>
      <c r="L12" s="1" t="s">
        <v>142</v>
      </c>
      <c r="M12" s="1" t="s">
        <v>484</v>
      </c>
      <c r="N12" s="32" t="s">
        <v>519</v>
      </c>
      <c r="O12" s="118" t="s">
        <v>520</v>
      </c>
      <c r="P12" s="92"/>
      <c r="AI12" s="91">
        <f t="shared" si="1"/>
        <v>46072</v>
      </c>
    </row>
    <row r="13" spans="1:35" s="32" customFormat="1" x14ac:dyDescent="0.25">
      <c r="A13" s="33">
        <f>IF(ISBLANK(E13),"",_xlfn.XLOOKUP(E13,Info!A:A,Info!B:B))</f>
        <v>4</v>
      </c>
      <c r="B13" s="33" t="s">
        <v>266</v>
      </c>
      <c r="C13" s="33" t="s">
        <v>187</v>
      </c>
      <c r="D13" s="54" t="s">
        <v>410</v>
      </c>
      <c r="E13" s="132">
        <v>46079</v>
      </c>
      <c r="F13" t="s">
        <v>487</v>
      </c>
      <c r="G13" s="33">
        <f>IF(ISBLANK(H13),"",_xlfn.XLOOKUP(H13,Info!A:A,Info!B:B))</f>
        <v>4</v>
      </c>
      <c r="H13" s="98">
        <f t="shared" si="0"/>
        <v>46078</v>
      </c>
      <c r="I13" s="103">
        <v>0.625</v>
      </c>
      <c r="J13" s="33">
        <v>30</v>
      </c>
      <c r="K13" s="1" t="s">
        <v>234</v>
      </c>
      <c r="L13" s="1" t="s">
        <v>142</v>
      </c>
      <c r="M13" s="1" t="s">
        <v>237</v>
      </c>
      <c r="O13" s="118"/>
      <c r="P13" s="92"/>
      <c r="AI13" s="91">
        <f t="shared" si="1"/>
        <v>46078</v>
      </c>
    </row>
    <row r="14" spans="1:35" s="32" customFormat="1" x14ac:dyDescent="0.25">
      <c r="A14" s="33">
        <f>IF(ISBLANK(E14),"",_xlfn.XLOOKUP(E14,Info!A:A,Info!B:B))</f>
        <v>4</v>
      </c>
      <c r="B14" s="33" t="s">
        <v>266</v>
      </c>
      <c r="C14" s="33" t="s">
        <v>187</v>
      </c>
      <c r="D14" s="54" t="s">
        <v>410</v>
      </c>
      <c r="E14" s="132">
        <v>46079</v>
      </c>
      <c r="F14" t="s">
        <v>489</v>
      </c>
      <c r="G14" s="33">
        <f>IF(ISBLANK(H14),"",_xlfn.XLOOKUP(H14,Info!A:A,Info!B:B))</f>
        <v>4</v>
      </c>
      <c r="H14" s="98">
        <f t="shared" si="0"/>
        <v>46078</v>
      </c>
      <c r="I14" s="103">
        <v>0.625</v>
      </c>
      <c r="J14" s="33">
        <v>30</v>
      </c>
      <c r="K14" s="1" t="s">
        <v>490</v>
      </c>
      <c r="L14" s="1" t="s">
        <v>142</v>
      </c>
      <c r="M14" s="1" t="s">
        <v>481</v>
      </c>
      <c r="O14" s="118" t="s">
        <v>566</v>
      </c>
      <c r="P14" s="92"/>
      <c r="AI14" s="91">
        <f t="shared" si="1"/>
        <v>46078</v>
      </c>
    </row>
    <row r="15" spans="1:35" s="32" customFormat="1" x14ac:dyDescent="0.25">
      <c r="A15" s="33">
        <f>IF(ISBLANK(E15),"",_xlfn.XLOOKUP(E15,Info!A:A,Info!B:B))</f>
        <v>4</v>
      </c>
      <c r="B15" s="33" t="s">
        <v>266</v>
      </c>
      <c r="C15" s="33" t="s">
        <v>187</v>
      </c>
      <c r="D15" s="54" t="s">
        <v>410</v>
      </c>
      <c r="E15" s="132">
        <v>46079</v>
      </c>
      <c r="F15" t="s">
        <v>623</v>
      </c>
      <c r="G15" s="33">
        <f>IF(ISBLANK(H15),"",_xlfn.XLOOKUP(H15,Info!A:A,Info!B:B))</f>
        <v>4</v>
      </c>
      <c r="H15" s="98">
        <f t="shared" si="0"/>
        <v>46078</v>
      </c>
      <c r="I15" s="103">
        <v>0.625</v>
      </c>
      <c r="J15" s="33">
        <v>30</v>
      </c>
      <c r="K15" s="1" t="s">
        <v>488</v>
      </c>
      <c r="L15" s="1" t="s">
        <v>142</v>
      </c>
      <c r="M15" s="1" t="s">
        <v>481</v>
      </c>
      <c r="O15" s="118" t="s">
        <v>566</v>
      </c>
      <c r="P15" s="92"/>
      <c r="AI15" s="91">
        <f>H15</f>
        <v>46078</v>
      </c>
    </row>
    <row r="16" spans="1:35" s="32" customFormat="1" x14ac:dyDescent="0.25">
      <c r="A16" s="33">
        <f>IF(ISBLANK(E16),"",_xlfn.XLOOKUP(E16,Info!A:A,Info!B:B))</f>
        <v>4</v>
      </c>
      <c r="B16" s="33" t="s">
        <v>266</v>
      </c>
      <c r="C16" s="33" t="s">
        <v>187</v>
      </c>
      <c r="D16" s="134" t="s">
        <v>260</v>
      </c>
      <c r="E16" s="132">
        <v>46080</v>
      </c>
      <c r="F16" t="s">
        <v>509</v>
      </c>
      <c r="G16" s="33">
        <f>IF(ISBLANK(H16),"",_xlfn.XLOOKUP(H16,Info!A:A,Info!B:B))</f>
        <v>4</v>
      </c>
      <c r="H16" s="98">
        <f t="shared" si="0"/>
        <v>46079</v>
      </c>
      <c r="I16" s="103">
        <v>0.625</v>
      </c>
      <c r="J16" s="33">
        <v>30</v>
      </c>
      <c r="K16" s="33" t="s">
        <v>243</v>
      </c>
      <c r="L16" s="33" t="s">
        <v>243</v>
      </c>
      <c r="M16" s="1" t="s">
        <v>481</v>
      </c>
      <c r="N16" s="92"/>
      <c r="P16" s="92"/>
      <c r="AI16" s="91">
        <f t="shared" si="1"/>
        <v>46079</v>
      </c>
    </row>
    <row r="17" spans="1:35" s="32" customFormat="1" x14ac:dyDescent="0.25">
      <c r="A17" s="33">
        <f>IF(ISBLANK(E17),"",_xlfn.XLOOKUP(E17,Info!A:A,Info!B:B))</f>
        <v>4</v>
      </c>
      <c r="B17" s="33" t="s">
        <v>266</v>
      </c>
      <c r="C17" s="33" t="s">
        <v>187</v>
      </c>
      <c r="D17" s="134" t="s">
        <v>260</v>
      </c>
      <c r="E17" s="132">
        <v>46080</v>
      </c>
      <c r="F17" t="s">
        <v>624</v>
      </c>
      <c r="G17" s="33">
        <f>IF(ISBLANK(H17),"",_xlfn.XLOOKUP(H17,Info!A:A,Info!B:B))</f>
        <v>4</v>
      </c>
      <c r="H17" s="98">
        <f t="shared" si="0"/>
        <v>46079</v>
      </c>
      <c r="I17" s="103">
        <v>0.625</v>
      </c>
      <c r="J17" s="33">
        <v>30</v>
      </c>
      <c r="K17" s="33" t="s">
        <v>513</v>
      </c>
      <c r="L17" s="33" t="s">
        <v>243</v>
      </c>
      <c r="M17" s="1" t="s">
        <v>512</v>
      </c>
      <c r="N17" s="92"/>
      <c r="P17" s="92"/>
      <c r="AI17" s="91">
        <f t="shared" si="1"/>
        <v>46079</v>
      </c>
    </row>
    <row r="18" spans="1:35" s="32" customFormat="1" x14ac:dyDescent="0.25">
      <c r="A18" s="33">
        <f>IF(ISBLANK(E18),"",_xlfn.XLOOKUP(E18,Info!A:A,Info!B:B))</f>
        <v>5</v>
      </c>
      <c r="B18" s="33" t="s">
        <v>266</v>
      </c>
      <c r="C18" s="33" t="s">
        <v>187</v>
      </c>
      <c r="D18" s="54" t="s">
        <v>410</v>
      </c>
      <c r="E18" s="132">
        <v>46083</v>
      </c>
      <c r="F18" t="s">
        <v>625</v>
      </c>
      <c r="G18" s="33">
        <f>IF(ISBLANK(H18),"",_xlfn.XLOOKUP(H18,Info!A:A,Info!B:B))</f>
        <v>5</v>
      </c>
      <c r="H18" s="98">
        <f t="shared" si="0"/>
        <v>46082</v>
      </c>
      <c r="I18" s="103">
        <v>0.625</v>
      </c>
      <c r="J18" s="33">
        <v>30</v>
      </c>
      <c r="K18" s="1" t="s">
        <v>491</v>
      </c>
      <c r="L18" s="1" t="s">
        <v>142</v>
      </c>
      <c r="M18" s="1" t="s">
        <v>492</v>
      </c>
      <c r="P18" s="92"/>
      <c r="AI18" s="91">
        <f t="shared" si="1"/>
        <v>46082</v>
      </c>
    </row>
    <row r="19" spans="1:35" s="32" customFormat="1" x14ac:dyDescent="0.25">
      <c r="A19" s="33">
        <f>IF(ISBLANK(E19),"",_xlfn.XLOOKUP(E19,Info!A:A,Info!B:B))</f>
        <v>5</v>
      </c>
      <c r="B19" s="33" t="s">
        <v>266</v>
      </c>
      <c r="C19" s="33" t="s">
        <v>187</v>
      </c>
      <c r="D19" s="54" t="s">
        <v>231</v>
      </c>
      <c r="E19" s="132">
        <v>46083</v>
      </c>
      <c r="F19" t="s">
        <v>625</v>
      </c>
      <c r="G19" s="33">
        <f>IF(ISBLANK(H19),"",_xlfn.XLOOKUP(H19,Info!A:A,Info!B:B))</f>
        <v>5</v>
      </c>
      <c r="H19" s="98">
        <f t="shared" si="0"/>
        <v>46082</v>
      </c>
      <c r="I19" s="103">
        <v>0.625</v>
      </c>
      <c r="J19" s="33">
        <v>30</v>
      </c>
      <c r="K19" s="1" t="s">
        <v>491</v>
      </c>
      <c r="L19" s="33" t="s">
        <v>142</v>
      </c>
      <c r="M19" s="1" t="s">
        <v>507</v>
      </c>
      <c r="N19" s="92"/>
      <c r="P19" s="92"/>
      <c r="AI19" s="91">
        <f t="shared" si="1"/>
        <v>46082</v>
      </c>
    </row>
    <row r="20" spans="1:35" s="32" customFormat="1" x14ac:dyDescent="0.25">
      <c r="A20" s="33">
        <f>IF(ISBLANK(E20),"",_xlfn.XLOOKUP(E20,Info!A:A,Info!B:B))</f>
        <v>5</v>
      </c>
      <c r="B20" s="33" t="s">
        <v>266</v>
      </c>
      <c r="C20" s="33" t="s">
        <v>187</v>
      </c>
      <c r="D20" s="54" t="s">
        <v>410</v>
      </c>
      <c r="E20" s="132">
        <v>46086</v>
      </c>
      <c r="F20" t="s">
        <v>493</v>
      </c>
      <c r="G20" s="33">
        <f>IF(ISBLANK(H20),"",_xlfn.XLOOKUP(H20,Info!A:A,Info!B:B))</f>
        <v>5</v>
      </c>
      <c r="H20" s="98">
        <f t="shared" si="0"/>
        <v>46085</v>
      </c>
      <c r="I20" s="103">
        <v>0.625</v>
      </c>
      <c r="J20" s="33">
        <v>30</v>
      </c>
      <c r="K20" s="1" t="s">
        <v>207</v>
      </c>
      <c r="L20" s="1" t="s">
        <v>142</v>
      </c>
      <c r="M20" s="1" t="s">
        <v>237</v>
      </c>
      <c r="O20" s="118" t="s">
        <v>531</v>
      </c>
      <c r="P20" s="92"/>
      <c r="AI20" s="91">
        <f t="shared" si="1"/>
        <v>46085</v>
      </c>
    </row>
    <row r="21" spans="1:35" s="32" customFormat="1" x14ac:dyDescent="0.25">
      <c r="A21" s="33">
        <f>IF(ISBLANK(E21),"",_xlfn.XLOOKUP(E21,Info!A:A,Info!B:B))</f>
        <v>5</v>
      </c>
      <c r="B21" s="33" t="s">
        <v>266</v>
      </c>
      <c r="C21" s="33" t="s">
        <v>187</v>
      </c>
      <c r="D21" s="54" t="s">
        <v>410</v>
      </c>
      <c r="E21" s="132">
        <v>46086</v>
      </c>
      <c r="F21" t="s">
        <v>494</v>
      </c>
      <c r="G21" s="33">
        <f>IF(ISBLANK(H21),"",_xlfn.XLOOKUP(H21,Info!A:A,Info!B:B))</f>
        <v>5</v>
      </c>
      <c r="H21" s="98">
        <f t="shared" si="0"/>
        <v>46085</v>
      </c>
      <c r="I21" s="103">
        <v>0.625</v>
      </c>
      <c r="J21" s="33">
        <v>30</v>
      </c>
      <c r="K21" s="1" t="s">
        <v>234</v>
      </c>
      <c r="L21" s="1" t="s">
        <v>142</v>
      </c>
      <c r="M21" s="1" t="s">
        <v>237</v>
      </c>
      <c r="N21" s="32" t="s">
        <v>565</v>
      </c>
      <c r="O21" s="118" t="s">
        <v>531</v>
      </c>
      <c r="P21" s="92"/>
      <c r="AI21" s="91">
        <f t="shared" si="1"/>
        <v>46085</v>
      </c>
    </row>
    <row r="22" spans="1:35" s="32" customFormat="1" x14ac:dyDescent="0.25">
      <c r="A22" s="33">
        <f>IF(ISBLANK(E22),"",_xlfn.XLOOKUP(E22,Info!A:A,Info!B:B))</f>
        <v>5</v>
      </c>
      <c r="B22" s="33" t="s">
        <v>266</v>
      </c>
      <c r="C22" s="33" t="s">
        <v>187</v>
      </c>
      <c r="D22" s="54" t="s">
        <v>410</v>
      </c>
      <c r="E22" s="132">
        <v>46086</v>
      </c>
      <c r="F22" t="s">
        <v>626</v>
      </c>
      <c r="G22" s="33">
        <f>IF(ISBLANK(H22),"",_xlfn.XLOOKUP(H22,Info!A:A,Info!B:B))</f>
        <v>5</v>
      </c>
      <c r="H22" s="98">
        <f t="shared" si="0"/>
        <v>46085</v>
      </c>
      <c r="I22" s="103">
        <v>0.625</v>
      </c>
      <c r="J22" s="33">
        <v>30</v>
      </c>
      <c r="K22" s="1" t="s">
        <v>488</v>
      </c>
      <c r="L22" s="1" t="s">
        <v>142</v>
      </c>
      <c r="M22" s="1" t="s">
        <v>237</v>
      </c>
      <c r="O22" s="118" t="s">
        <v>531</v>
      </c>
      <c r="AI22" s="91"/>
    </row>
    <row r="23" spans="1:35" s="32" customFormat="1" x14ac:dyDescent="0.25">
      <c r="A23" s="33">
        <f>IF(ISBLANK(E23),"",_xlfn.XLOOKUP(E23,Info!A:A,Info!B:B))</f>
        <v>5</v>
      </c>
      <c r="B23" s="33" t="s">
        <v>266</v>
      </c>
      <c r="C23" s="33" t="s">
        <v>187</v>
      </c>
      <c r="D23" s="54" t="s">
        <v>410</v>
      </c>
      <c r="E23" s="132">
        <v>46086</v>
      </c>
      <c r="F23" t="s">
        <v>495</v>
      </c>
      <c r="G23" s="33">
        <f>IF(ISBLANK(H23),"",_xlfn.XLOOKUP(H23,Info!A:A,Info!B:B))</f>
        <v>5</v>
      </c>
      <c r="H23" s="98">
        <f t="shared" si="0"/>
        <v>46085</v>
      </c>
      <c r="I23" s="103">
        <v>0.625</v>
      </c>
      <c r="J23" s="33">
        <v>30</v>
      </c>
      <c r="K23" s="1" t="s">
        <v>142</v>
      </c>
      <c r="L23" s="1" t="s">
        <v>142</v>
      </c>
      <c r="M23" s="1" t="s">
        <v>237</v>
      </c>
      <c r="O23" s="118" t="s">
        <v>531</v>
      </c>
      <c r="P23" s="92"/>
      <c r="AI23" s="91"/>
    </row>
    <row r="24" spans="1:35" s="32" customFormat="1" x14ac:dyDescent="0.25">
      <c r="A24" s="33">
        <f>IF(ISBLANK(E24),"",_xlfn.XLOOKUP(E24,Info!A:A,Info!B:B))</f>
        <v>6</v>
      </c>
      <c r="B24" s="33" t="s">
        <v>266</v>
      </c>
      <c r="C24" s="33" t="s">
        <v>187</v>
      </c>
      <c r="D24" s="54" t="s">
        <v>410</v>
      </c>
      <c r="E24" s="132">
        <v>46093</v>
      </c>
      <c r="F24" t="s">
        <v>497</v>
      </c>
      <c r="G24" s="33">
        <f>IF(ISBLANK(H24),"",_xlfn.XLOOKUP(H24,Info!A:A,Info!B:B))</f>
        <v>6</v>
      </c>
      <c r="H24" s="98">
        <f t="shared" si="0"/>
        <v>46092</v>
      </c>
      <c r="I24" s="103">
        <v>0.625</v>
      </c>
      <c r="J24" s="33">
        <v>30</v>
      </c>
      <c r="K24" s="1" t="s">
        <v>488</v>
      </c>
      <c r="L24" s="1" t="s">
        <v>142</v>
      </c>
      <c r="M24" s="1" t="s">
        <v>484</v>
      </c>
      <c r="N24" s="32" t="s">
        <v>647</v>
      </c>
      <c r="O24" s="118" t="s">
        <v>534</v>
      </c>
      <c r="P24" s="92"/>
      <c r="AI24" s="91"/>
    </row>
    <row r="25" spans="1:35" s="32" customFormat="1" x14ac:dyDescent="0.25">
      <c r="A25" s="33">
        <f>IF(ISBLANK(E25),"",_xlfn.XLOOKUP(E25,Info!A:A,Info!B:B))</f>
        <v>6</v>
      </c>
      <c r="B25" s="33" t="s">
        <v>266</v>
      </c>
      <c r="C25" s="33" t="s">
        <v>187</v>
      </c>
      <c r="D25" s="54" t="s">
        <v>410</v>
      </c>
      <c r="E25" s="132">
        <v>46093</v>
      </c>
      <c r="F25" t="s">
        <v>498</v>
      </c>
      <c r="G25" s="33">
        <f>IF(ISBLANK(H25),"",_xlfn.XLOOKUP(H25,Info!A:A,Info!B:B))</f>
        <v>6</v>
      </c>
      <c r="H25" s="98">
        <f t="shared" si="0"/>
        <v>46092</v>
      </c>
      <c r="I25" s="103">
        <v>0.625</v>
      </c>
      <c r="J25" s="33">
        <v>30</v>
      </c>
      <c r="K25" s="1" t="s">
        <v>234</v>
      </c>
      <c r="L25" s="1" t="s">
        <v>142</v>
      </c>
      <c r="M25" s="1" t="s">
        <v>237</v>
      </c>
      <c r="O25" s="118" t="s">
        <v>534</v>
      </c>
      <c r="P25" s="92"/>
      <c r="AI25" s="91"/>
    </row>
    <row r="26" spans="1:35" s="32" customFormat="1" x14ac:dyDescent="0.25">
      <c r="A26" s="33">
        <f>IF(ISBLANK(E26),"",_xlfn.XLOOKUP(E26,Info!A:A,Info!B:B))</f>
        <v>6</v>
      </c>
      <c r="B26" s="33" t="s">
        <v>266</v>
      </c>
      <c r="C26" s="33" t="s">
        <v>187</v>
      </c>
      <c r="D26" s="54" t="s">
        <v>410</v>
      </c>
      <c r="E26" s="132">
        <v>46093</v>
      </c>
      <c r="F26" t="s">
        <v>515</v>
      </c>
      <c r="G26" s="33">
        <f>IF(ISBLANK(H26),"",_xlfn.XLOOKUP(H26,Info!A:A,Info!B:B))</f>
        <v>6</v>
      </c>
      <c r="H26" s="98">
        <f t="shared" si="0"/>
        <v>46092</v>
      </c>
      <c r="I26" s="103">
        <v>0.625</v>
      </c>
      <c r="J26" s="33">
        <v>30</v>
      </c>
      <c r="K26" s="1" t="s">
        <v>142</v>
      </c>
      <c r="L26" s="1" t="s">
        <v>142</v>
      </c>
      <c r="M26" s="1" t="s">
        <v>237</v>
      </c>
      <c r="O26" s="118" t="s">
        <v>534</v>
      </c>
      <c r="P26" s="92"/>
      <c r="AI26" s="91"/>
    </row>
    <row r="27" spans="1:35" s="32" customFormat="1" x14ac:dyDescent="0.25">
      <c r="A27" s="33">
        <f>IF(ISBLANK(E27),"",_xlfn.XLOOKUP(E27,Info!A:A,Info!B:B))</f>
        <v>6</v>
      </c>
      <c r="B27" s="33" t="s">
        <v>266</v>
      </c>
      <c r="C27" s="33" t="s">
        <v>187</v>
      </c>
      <c r="D27" s="54" t="s">
        <v>410</v>
      </c>
      <c r="E27" s="132">
        <v>46093</v>
      </c>
      <c r="F27" t="s">
        <v>532</v>
      </c>
      <c r="G27" s="33">
        <f>IF(ISBLANK(H27),"",_xlfn.XLOOKUP(H27,Info!A:A,Info!B:B))</f>
        <v>6</v>
      </c>
      <c r="H27" s="98">
        <f t="shared" si="0"/>
        <v>46092</v>
      </c>
      <c r="I27" s="103">
        <v>0.625</v>
      </c>
      <c r="J27" s="33">
        <v>30</v>
      </c>
      <c r="K27" s="1" t="s">
        <v>496</v>
      </c>
      <c r="L27" s="1" t="s">
        <v>142</v>
      </c>
      <c r="M27" s="1" t="s">
        <v>481</v>
      </c>
      <c r="N27" s="32" t="s">
        <v>533</v>
      </c>
      <c r="O27" s="118" t="s">
        <v>575</v>
      </c>
      <c r="P27" s="92"/>
      <c r="AI27" s="91"/>
    </row>
    <row r="28" spans="1:35" s="32" customFormat="1" x14ac:dyDescent="0.25">
      <c r="A28" s="33">
        <f>IF(ISBLANK(E28),"",_xlfn.XLOOKUP(E28,Info!A:A,Info!B:B))</f>
        <v>7</v>
      </c>
      <c r="B28" s="33" t="s">
        <v>266</v>
      </c>
      <c r="C28" s="33" t="s">
        <v>187</v>
      </c>
      <c r="D28" s="54" t="s">
        <v>410</v>
      </c>
      <c r="E28" s="132">
        <v>46100</v>
      </c>
      <c r="F28" t="s">
        <v>497</v>
      </c>
      <c r="G28" s="33">
        <f>IF(ISBLANK(H28),"",_xlfn.XLOOKUP(H28,Info!A:A,Info!B:B))</f>
        <v>7</v>
      </c>
      <c r="H28" s="98">
        <f t="shared" si="0"/>
        <v>46099</v>
      </c>
      <c r="I28" s="103">
        <v>0.625</v>
      </c>
      <c r="J28" s="33">
        <v>30</v>
      </c>
      <c r="K28" s="1" t="s">
        <v>271</v>
      </c>
      <c r="L28" s="1" t="s">
        <v>142</v>
      </c>
      <c r="M28" s="1" t="s">
        <v>481</v>
      </c>
      <c r="N28" s="32" t="s">
        <v>522</v>
      </c>
      <c r="O28" s="118" t="s">
        <v>521</v>
      </c>
      <c r="P28" s="92"/>
      <c r="AI28" s="91"/>
    </row>
    <row r="29" spans="1:35" s="32" customFormat="1" x14ac:dyDescent="0.25">
      <c r="A29" s="33">
        <f>IF(ISBLANK(E29),"",_xlfn.XLOOKUP(E29,Info!A:A,Info!B:B))</f>
        <v>7</v>
      </c>
      <c r="B29" s="33" t="s">
        <v>266</v>
      </c>
      <c r="C29" s="33" t="s">
        <v>187</v>
      </c>
      <c r="D29" s="54" t="s">
        <v>231</v>
      </c>
      <c r="E29" s="132">
        <v>46100</v>
      </c>
      <c r="F29" t="s">
        <v>257</v>
      </c>
      <c r="G29" s="33">
        <f>IF(ISBLANK(H29),"",_xlfn.XLOOKUP(H29,Info!A:A,Info!B:B))</f>
        <v>7</v>
      </c>
      <c r="H29" s="98">
        <f t="shared" si="0"/>
        <v>46099</v>
      </c>
      <c r="I29" s="103">
        <v>0.625</v>
      </c>
      <c r="J29" s="33">
        <v>30</v>
      </c>
      <c r="K29" s="1" t="s">
        <v>47</v>
      </c>
      <c r="L29" s="33" t="s">
        <v>142</v>
      </c>
      <c r="M29" s="1" t="s">
        <v>508</v>
      </c>
      <c r="N29" s="92"/>
      <c r="P29" s="92"/>
      <c r="AI29" s="91"/>
    </row>
    <row r="30" spans="1:35" s="32" customFormat="1" x14ac:dyDescent="0.25">
      <c r="A30" s="33">
        <f>IF(ISBLANK(E30),"",_xlfn.XLOOKUP(E30,Info!A:A,Info!B:B))</f>
        <v>7</v>
      </c>
      <c r="B30" s="33" t="s">
        <v>266</v>
      </c>
      <c r="C30" s="33" t="s">
        <v>187</v>
      </c>
      <c r="D30" s="54" t="s">
        <v>410</v>
      </c>
      <c r="E30" s="132">
        <v>46100</v>
      </c>
      <c r="F30" t="s">
        <v>500</v>
      </c>
      <c r="G30" s="33">
        <f>IF(ISBLANK(H30),"",_xlfn.XLOOKUP(H30,Info!A:A,Info!B:B))</f>
        <v>7</v>
      </c>
      <c r="H30" s="98">
        <f t="shared" si="0"/>
        <v>46099</v>
      </c>
      <c r="I30" s="103">
        <v>0.625</v>
      </c>
      <c r="J30" s="33">
        <v>30</v>
      </c>
      <c r="K30" s="1" t="s">
        <v>271</v>
      </c>
      <c r="L30" s="1" t="s">
        <v>142</v>
      </c>
      <c r="M30" s="1" t="s">
        <v>481</v>
      </c>
      <c r="N30" s="32" t="s">
        <v>523</v>
      </c>
      <c r="O30" s="118" t="s">
        <v>521</v>
      </c>
      <c r="P30" s="92"/>
      <c r="AI30" s="91"/>
    </row>
    <row r="31" spans="1:35" s="32" customFormat="1" x14ac:dyDescent="0.25">
      <c r="A31" s="33">
        <f>IF(ISBLANK(E31),"",_xlfn.XLOOKUP(E31,Info!A:A,Info!B:B))</f>
        <v>7</v>
      </c>
      <c r="B31" s="33" t="s">
        <v>266</v>
      </c>
      <c r="C31" s="33" t="s">
        <v>187</v>
      </c>
      <c r="D31" s="54" t="s">
        <v>410</v>
      </c>
      <c r="E31" s="132">
        <v>46100</v>
      </c>
      <c r="F31" t="s">
        <v>499</v>
      </c>
      <c r="G31" s="33">
        <f>IF(ISBLANK(H31),"",_xlfn.XLOOKUP(H31,Info!A:A,Info!B:B))</f>
        <v>7</v>
      </c>
      <c r="H31" s="98">
        <f t="shared" si="0"/>
        <v>46099</v>
      </c>
      <c r="I31" s="103">
        <v>0.625</v>
      </c>
      <c r="J31" s="33">
        <v>30</v>
      </c>
      <c r="K31" s="1" t="s">
        <v>643</v>
      </c>
      <c r="L31" s="1" t="s">
        <v>142</v>
      </c>
      <c r="M31" s="1" t="s">
        <v>481</v>
      </c>
      <c r="O31" s="118" t="s">
        <v>521</v>
      </c>
      <c r="P31" s="92"/>
      <c r="AI31" s="91"/>
    </row>
    <row r="32" spans="1:35" s="32" customFormat="1" x14ac:dyDescent="0.25">
      <c r="A32" s="33">
        <f>IF(ISBLANK(E32),"",_xlfn.XLOOKUP(E32,Info!A:A,Info!B:B))</f>
        <v>9</v>
      </c>
      <c r="B32" s="33" t="s">
        <v>266</v>
      </c>
      <c r="C32" s="33" t="s">
        <v>187</v>
      </c>
      <c r="D32" s="54" t="s">
        <v>549</v>
      </c>
      <c r="E32" s="91">
        <v>46114</v>
      </c>
      <c r="F32" s="54" t="s">
        <v>627</v>
      </c>
      <c r="G32" s="33">
        <f>IF(ISBLANK(H32),"",_xlfn.XLOOKUP(H32,Info!A:A,Info!B:B))</f>
        <v>9</v>
      </c>
      <c r="H32" s="98">
        <f t="shared" si="0"/>
        <v>46113</v>
      </c>
      <c r="I32" s="103">
        <v>0.625</v>
      </c>
      <c r="J32" s="33">
        <v>60</v>
      </c>
      <c r="K32" s="33" t="s">
        <v>552</v>
      </c>
      <c r="L32" s="33"/>
      <c r="M32" s="67" t="s">
        <v>237</v>
      </c>
      <c r="N32" s="92" t="s">
        <v>648</v>
      </c>
      <c r="O32" s="93" t="s">
        <v>653</v>
      </c>
      <c r="P32" s="92" t="s">
        <v>554</v>
      </c>
      <c r="AI32" s="91"/>
    </row>
    <row r="33" spans="1:35" s="32" customFormat="1" x14ac:dyDescent="0.25">
      <c r="A33" s="33">
        <f>IF(ISBLANK(E33),"",_xlfn.XLOOKUP(E33,Info!A:A,Info!B:B))</f>
        <v>9</v>
      </c>
      <c r="B33" s="33" t="s">
        <v>266</v>
      </c>
      <c r="C33" s="33" t="s">
        <v>187</v>
      </c>
      <c r="D33" s="54" t="s">
        <v>231</v>
      </c>
      <c r="E33" s="91">
        <v>46114</v>
      </c>
      <c r="F33" s="54" t="s">
        <v>232</v>
      </c>
      <c r="G33" s="33">
        <f>IF(ISBLANK(H33),"",_xlfn.XLOOKUP(H33,Info!A:A,Info!B:B))</f>
        <v>9</v>
      </c>
      <c r="H33" s="98">
        <v>46113</v>
      </c>
      <c r="I33" s="103">
        <v>0.5</v>
      </c>
      <c r="J33" s="33">
        <v>15</v>
      </c>
      <c r="K33" s="33" t="s">
        <v>234</v>
      </c>
      <c r="L33" s="33" t="s">
        <v>234</v>
      </c>
      <c r="M33" s="67" t="s">
        <v>237</v>
      </c>
      <c r="N33" s="92"/>
      <c r="O33" s="93" t="s">
        <v>254</v>
      </c>
      <c r="P33" s="92" t="s">
        <v>249</v>
      </c>
      <c r="AI33" s="91"/>
    </row>
    <row r="34" spans="1:35" s="32" customFormat="1" x14ac:dyDescent="0.25">
      <c r="A34" s="33">
        <f>IF(ISBLANK(E34),"",_xlfn.XLOOKUP(E34,Info!A:A,Info!B:B))</f>
        <v>9</v>
      </c>
      <c r="B34" s="33" t="s">
        <v>266</v>
      </c>
      <c r="C34" s="33" t="s">
        <v>187</v>
      </c>
      <c r="D34" s="54" t="s">
        <v>231</v>
      </c>
      <c r="E34" s="132">
        <v>46114</v>
      </c>
      <c r="F34" t="s">
        <v>232</v>
      </c>
      <c r="G34" s="33">
        <f>IF(ISBLANK(H34),"",_xlfn.XLOOKUP(H34,Info!A:A,Info!B:B))</f>
        <v>9</v>
      </c>
      <c r="H34" s="98">
        <f>E34-1</f>
        <v>46113</v>
      </c>
      <c r="I34" s="103">
        <v>0.625</v>
      </c>
      <c r="J34" s="33">
        <v>30</v>
      </c>
      <c r="K34" s="1" t="s">
        <v>234</v>
      </c>
      <c r="L34" s="33" t="s">
        <v>142</v>
      </c>
      <c r="M34" s="1" t="s">
        <v>237</v>
      </c>
      <c r="N34" s="92"/>
      <c r="P34" s="92"/>
      <c r="AI34" s="91"/>
    </row>
    <row r="35" spans="1:35" s="32" customFormat="1" x14ac:dyDescent="0.25">
      <c r="A35" s="33">
        <f>IF(ISBLANK(E35),"",_xlfn.XLOOKUP(E35,Info!A:A,Info!B:B))</f>
        <v>9</v>
      </c>
      <c r="B35" s="33" t="s">
        <v>266</v>
      </c>
      <c r="C35" s="33" t="s">
        <v>187</v>
      </c>
      <c r="D35" s="54" t="s">
        <v>231</v>
      </c>
      <c r="E35" s="132">
        <v>46114</v>
      </c>
      <c r="F35" t="s">
        <v>506</v>
      </c>
      <c r="G35" s="33">
        <f>IF(ISBLANK(H35),"",_xlfn.XLOOKUP(H35,Info!A:A,Info!B:B))</f>
        <v>9</v>
      </c>
      <c r="H35" s="98">
        <f>E35-1</f>
        <v>46113</v>
      </c>
      <c r="I35" s="103">
        <v>0.625</v>
      </c>
      <c r="J35" s="33">
        <v>30</v>
      </c>
      <c r="K35" s="1" t="s">
        <v>235</v>
      </c>
      <c r="L35" s="33" t="s">
        <v>142</v>
      </c>
      <c r="M35" s="1" t="s">
        <v>237</v>
      </c>
      <c r="N35" s="92"/>
      <c r="P35" s="92"/>
      <c r="AI35" s="91"/>
    </row>
    <row r="36" spans="1:35" s="32" customFormat="1" x14ac:dyDescent="0.25">
      <c r="A36" s="33">
        <f>IF(ISBLANK(E36),"",_xlfn.XLOOKUP(E36,Info!A:A,Info!B:B))</f>
        <v>9</v>
      </c>
      <c r="B36" s="33" t="s">
        <v>266</v>
      </c>
      <c r="C36" s="33" t="s">
        <v>187</v>
      </c>
      <c r="D36" s="54" t="s">
        <v>231</v>
      </c>
      <c r="E36" s="91">
        <v>46114</v>
      </c>
      <c r="F36" s="54" t="s">
        <v>233</v>
      </c>
      <c r="G36" s="33">
        <f>IF(ISBLANK(H36),"",_xlfn.XLOOKUP(H36,Info!A:A,Info!B:B))</f>
        <v>9</v>
      </c>
      <c r="H36" s="98">
        <v>46113</v>
      </c>
      <c r="I36" s="103">
        <v>0.5</v>
      </c>
      <c r="J36" s="33">
        <v>15</v>
      </c>
      <c r="K36" s="33" t="s">
        <v>235</v>
      </c>
      <c r="L36" s="33" t="s">
        <v>235</v>
      </c>
      <c r="M36" s="67" t="s">
        <v>237</v>
      </c>
      <c r="N36" s="92"/>
      <c r="O36" s="93" t="s">
        <v>254</v>
      </c>
      <c r="P36" s="92" t="s">
        <v>236</v>
      </c>
      <c r="AI36" s="91"/>
    </row>
    <row r="37" spans="1:35" s="32" customFormat="1" x14ac:dyDescent="0.25">
      <c r="A37" s="33">
        <f>IF(ISBLANK(E37),"",_xlfn.XLOOKUP(E37,Info!A:A,Info!B:B))</f>
        <v>9</v>
      </c>
      <c r="B37" s="33" t="s">
        <v>266</v>
      </c>
      <c r="C37" s="33" t="s">
        <v>187</v>
      </c>
      <c r="D37" s="54" t="s">
        <v>231</v>
      </c>
      <c r="E37" s="132">
        <v>46114</v>
      </c>
      <c r="F37" t="s">
        <v>516</v>
      </c>
      <c r="G37" s="33">
        <f>IF(ISBLANK(H37),"",_xlfn.XLOOKUP(H37,Info!A:A,Info!B:B))</f>
        <v>9</v>
      </c>
      <c r="H37" s="98">
        <f>E37-1</f>
        <v>46113</v>
      </c>
      <c r="I37" s="103">
        <v>0.625</v>
      </c>
      <c r="J37" s="33">
        <v>30</v>
      </c>
      <c r="K37" s="1" t="s">
        <v>235</v>
      </c>
      <c r="L37" s="33" t="s">
        <v>142</v>
      </c>
      <c r="M37" s="1" t="s">
        <v>237</v>
      </c>
      <c r="N37" s="92"/>
      <c r="P37" s="92"/>
      <c r="AI37" s="91"/>
    </row>
    <row r="38" spans="1:35" s="32" customFormat="1" x14ac:dyDescent="0.25">
      <c r="A38" s="33">
        <f>IF(ISBLANK(E38),"",_xlfn.XLOOKUP(E38,Info!A:A,Info!B:B))</f>
        <v>9</v>
      </c>
      <c r="B38" s="33" t="s">
        <v>266</v>
      </c>
      <c r="C38" s="33" t="s">
        <v>187</v>
      </c>
      <c r="D38" s="54" t="s">
        <v>231</v>
      </c>
      <c r="E38" s="91">
        <v>46114</v>
      </c>
      <c r="F38" s="54" t="s">
        <v>251</v>
      </c>
      <c r="G38" s="33">
        <f>IF(ISBLANK(H38),"",_xlfn.XLOOKUP(H38,Info!A:A,Info!B:B))</f>
        <v>9</v>
      </c>
      <c r="H38" s="98">
        <v>46113</v>
      </c>
      <c r="I38" s="103">
        <v>0.5</v>
      </c>
      <c r="J38" s="33">
        <v>15</v>
      </c>
      <c r="K38" s="33" t="s">
        <v>235</v>
      </c>
      <c r="L38" s="33" t="s">
        <v>235</v>
      </c>
      <c r="M38" s="67" t="s">
        <v>237</v>
      </c>
      <c r="N38" s="92"/>
      <c r="O38" s="93" t="s">
        <v>254</v>
      </c>
      <c r="P38" s="92" t="s">
        <v>236</v>
      </c>
      <c r="AI38" s="91"/>
    </row>
    <row r="39" spans="1:35" s="32" customFormat="1" x14ac:dyDescent="0.25">
      <c r="A39" s="33">
        <f>IF(ISBLANK(E39),"",_xlfn.XLOOKUP(E39,Info!A:A,Info!B:B))</f>
        <v>9</v>
      </c>
      <c r="B39" s="33" t="s">
        <v>266</v>
      </c>
      <c r="C39" s="33" t="s">
        <v>187</v>
      </c>
      <c r="D39" s="54" t="s">
        <v>410</v>
      </c>
      <c r="E39" s="132">
        <v>46115</v>
      </c>
      <c r="F39" t="s">
        <v>628</v>
      </c>
      <c r="G39" s="33">
        <f>IF(ISBLANK(H39),"",_xlfn.XLOOKUP(H39,Info!A:A,Info!B:B))</f>
        <v>9</v>
      </c>
      <c r="H39" s="98">
        <f>E39-1</f>
        <v>46114</v>
      </c>
      <c r="I39" s="103">
        <v>0.625</v>
      </c>
      <c r="J39" s="33">
        <v>30</v>
      </c>
      <c r="K39" s="1" t="s">
        <v>207</v>
      </c>
      <c r="L39" s="1" t="s">
        <v>142</v>
      </c>
      <c r="M39" s="1" t="s">
        <v>481</v>
      </c>
      <c r="N39" s="32" t="s">
        <v>649</v>
      </c>
      <c r="O39" s="118" t="s">
        <v>535</v>
      </c>
      <c r="P39" s="92"/>
      <c r="AI39" s="91"/>
    </row>
    <row r="40" spans="1:35" s="32" customFormat="1" x14ac:dyDescent="0.25">
      <c r="A40" s="33">
        <f>IF(ISBLANK(E40),"",_xlfn.XLOOKUP(E40,Info!A:A,Info!B:B))</f>
        <v>9</v>
      </c>
      <c r="B40" s="33" t="s">
        <v>266</v>
      </c>
      <c r="C40" s="33" t="s">
        <v>187</v>
      </c>
      <c r="D40" s="54" t="s">
        <v>239</v>
      </c>
      <c r="E40" s="91">
        <v>46115</v>
      </c>
      <c r="F40" s="54" t="s">
        <v>252</v>
      </c>
      <c r="G40" s="33">
        <f>IF(ISBLANK(H40),"",_xlfn.XLOOKUP(H40,Info!A:A,Info!B:B))</f>
        <v>9</v>
      </c>
      <c r="H40" s="98">
        <v>46114</v>
      </c>
      <c r="I40" s="103">
        <v>0.625</v>
      </c>
      <c r="J40" s="33">
        <v>15</v>
      </c>
      <c r="K40" s="33" t="s">
        <v>244</v>
      </c>
      <c r="L40" s="33" t="s">
        <v>244</v>
      </c>
      <c r="M40" s="67" t="s">
        <v>247</v>
      </c>
      <c r="N40" s="92" t="s">
        <v>248</v>
      </c>
      <c r="O40" s="93" t="s">
        <v>255</v>
      </c>
      <c r="P40" s="92" t="s">
        <v>245</v>
      </c>
      <c r="AI40" s="91"/>
    </row>
    <row r="41" spans="1:35" s="32" customFormat="1" x14ac:dyDescent="0.25">
      <c r="A41" s="33">
        <f>IF(ISBLANK(E41),"",_xlfn.XLOOKUP(E41,Info!A:A,Info!B:B))</f>
        <v>9</v>
      </c>
      <c r="B41" s="33" t="s">
        <v>266</v>
      </c>
      <c r="C41" s="33" t="s">
        <v>187</v>
      </c>
      <c r="D41" s="54" t="s">
        <v>410</v>
      </c>
      <c r="E41" s="132">
        <v>46115</v>
      </c>
      <c r="F41" t="s">
        <v>629</v>
      </c>
      <c r="G41" s="33">
        <f>IF(ISBLANK(H41),"",_xlfn.XLOOKUP(H41,Info!A:A,Info!B:B))</f>
        <v>9</v>
      </c>
      <c r="H41" s="98">
        <f>E41-1</f>
        <v>46114</v>
      </c>
      <c r="I41" s="103">
        <v>0.625</v>
      </c>
      <c r="J41" s="33">
        <v>30</v>
      </c>
      <c r="K41" s="1" t="s">
        <v>207</v>
      </c>
      <c r="L41" s="1" t="s">
        <v>142</v>
      </c>
      <c r="M41" s="1" t="s">
        <v>481</v>
      </c>
      <c r="N41" s="32" t="s">
        <v>536</v>
      </c>
      <c r="O41" s="118" t="s">
        <v>535</v>
      </c>
      <c r="P41" s="92"/>
      <c r="AI41" s="91"/>
    </row>
    <row r="42" spans="1:35" s="32" customFormat="1" x14ac:dyDescent="0.25">
      <c r="A42" s="33">
        <f>IF(ISBLANK(E42),"",_xlfn.XLOOKUP(E42,Info!A:A,Info!B:B))</f>
        <v>9</v>
      </c>
      <c r="B42" s="33" t="s">
        <v>266</v>
      </c>
      <c r="C42" s="33" t="s">
        <v>187</v>
      </c>
      <c r="D42" s="54" t="s">
        <v>239</v>
      </c>
      <c r="E42" s="91">
        <v>46115</v>
      </c>
      <c r="F42" s="54" t="s">
        <v>240</v>
      </c>
      <c r="G42" s="33">
        <f>IF(ISBLANK(H42),"",_xlfn.XLOOKUP(H42,Info!A:A,Info!B:B))</f>
        <v>9</v>
      </c>
      <c r="H42" s="98">
        <v>46114</v>
      </c>
      <c r="I42" s="103">
        <v>0.625</v>
      </c>
      <c r="J42" s="33">
        <v>15</v>
      </c>
      <c r="K42" s="33" t="s">
        <v>244</v>
      </c>
      <c r="L42" s="33" t="s">
        <v>244</v>
      </c>
      <c r="M42" s="67" t="s">
        <v>246</v>
      </c>
      <c r="N42" s="92"/>
      <c r="O42" s="93" t="s">
        <v>256</v>
      </c>
      <c r="P42" s="92"/>
      <c r="AI42" s="91"/>
    </row>
    <row r="43" spans="1:35" s="32" customFormat="1" x14ac:dyDescent="0.25">
      <c r="A43" s="33">
        <f>IF(ISBLANK(E43),"",_xlfn.XLOOKUP(E43,Info!A:A,Info!B:B))</f>
        <v>9</v>
      </c>
      <c r="B43" s="33" t="s">
        <v>266</v>
      </c>
      <c r="C43" s="33" t="s">
        <v>187</v>
      </c>
      <c r="D43" s="54" t="s">
        <v>242</v>
      </c>
      <c r="E43" s="91">
        <v>46115</v>
      </c>
      <c r="F43" s="54" t="s">
        <v>630</v>
      </c>
      <c r="G43" s="33">
        <f>IF(ISBLANK(H43),"",_xlfn.XLOOKUP(H43,Info!A:A,Info!B:B))</f>
        <v>9</v>
      </c>
      <c r="H43" s="98">
        <v>46115</v>
      </c>
      <c r="I43" s="103" t="s">
        <v>125</v>
      </c>
      <c r="J43" s="33">
        <v>60</v>
      </c>
      <c r="K43" s="33" t="s">
        <v>243</v>
      </c>
      <c r="L43" s="33" t="s">
        <v>142</v>
      </c>
      <c r="M43" s="67" t="s">
        <v>645</v>
      </c>
      <c r="N43" s="92"/>
      <c r="O43" s="93" t="s">
        <v>653</v>
      </c>
      <c r="P43" s="92" t="s">
        <v>249</v>
      </c>
      <c r="AI43" s="91"/>
    </row>
    <row r="44" spans="1:35" s="32" customFormat="1" x14ac:dyDescent="0.25">
      <c r="A44" s="33">
        <f>IF(ISBLANK(E44),"",_xlfn.XLOOKUP(E44,Info!A:A,Info!B:B))</f>
        <v>10</v>
      </c>
      <c r="B44" s="33" t="s">
        <v>266</v>
      </c>
      <c r="C44" s="33" t="s">
        <v>187</v>
      </c>
      <c r="D44" s="54" t="s">
        <v>622</v>
      </c>
      <c r="E44" s="91">
        <v>46119</v>
      </c>
      <c r="F44" s="54" t="s">
        <v>269</v>
      </c>
      <c r="G44" s="33">
        <f>IF(ISBLANK(H44),"",_xlfn.XLOOKUP(H44,Info!A:A,Info!B:B))</f>
        <v>10</v>
      </c>
      <c r="H44" s="98">
        <v>46118</v>
      </c>
      <c r="I44" s="103">
        <v>0.5</v>
      </c>
      <c r="J44" s="33"/>
      <c r="K44" s="33" t="s">
        <v>243</v>
      </c>
      <c r="L44" s="33" t="s">
        <v>243</v>
      </c>
      <c r="M44" s="67" t="s">
        <v>247</v>
      </c>
      <c r="N44" s="92"/>
      <c r="O44" s="93" t="s">
        <v>339</v>
      </c>
      <c r="P44" s="92"/>
      <c r="AI44" s="91"/>
    </row>
    <row r="45" spans="1:35" s="32" customFormat="1" x14ac:dyDescent="0.25">
      <c r="A45" s="33">
        <f>IF(ISBLANK(E45),"",_xlfn.XLOOKUP(E45,Info!A:A,Info!B:B))</f>
        <v>10</v>
      </c>
      <c r="B45" s="33" t="s">
        <v>266</v>
      </c>
      <c r="C45" s="33" t="s">
        <v>187</v>
      </c>
      <c r="D45" s="54" t="s">
        <v>242</v>
      </c>
      <c r="E45" s="91">
        <v>46119</v>
      </c>
      <c r="F45" s="54" t="s">
        <v>584</v>
      </c>
      <c r="G45" s="33">
        <f>IF(ISBLANK(H45),"",_xlfn.XLOOKUP(H45,Info!A:A,Info!B:B))</f>
        <v>10</v>
      </c>
      <c r="H45" s="98">
        <f>E45-1</f>
        <v>46118</v>
      </c>
      <c r="I45" s="103">
        <v>0.625</v>
      </c>
      <c r="J45" s="33">
        <v>60</v>
      </c>
      <c r="K45" s="33" t="s">
        <v>551</v>
      </c>
      <c r="L45" s="33"/>
      <c r="M45" s="67" t="s">
        <v>237</v>
      </c>
      <c r="N45" s="92" t="s">
        <v>648</v>
      </c>
      <c r="O45" s="93" t="s">
        <v>653</v>
      </c>
      <c r="P45" s="92" t="s">
        <v>553</v>
      </c>
      <c r="AI45" s="91"/>
    </row>
    <row r="46" spans="1:35" s="32" customFormat="1" x14ac:dyDescent="0.25">
      <c r="A46" s="33">
        <f>IF(ISBLANK(E46),"",_xlfn.XLOOKUP(E46,Info!A:A,Info!B:B))</f>
        <v>10</v>
      </c>
      <c r="B46" s="33" t="s">
        <v>266</v>
      </c>
      <c r="C46" s="33" t="s">
        <v>187</v>
      </c>
      <c r="D46" s="54" t="s">
        <v>242</v>
      </c>
      <c r="E46" s="91">
        <v>46121</v>
      </c>
      <c r="F46" s="54" t="s">
        <v>630</v>
      </c>
      <c r="G46" s="33">
        <f>IF(ISBLANK(H46),"",_xlfn.XLOOKUP(H46,Info!A:A,Info!B:B))</f>
        <v>10</v>
      </c>
      <c r="H46" s="98">
        <v>46120</v>
      </c>
      <c r="I46" s="103" t="s">
        <v>125</v>
      </c>
      <c r="J46" s="33">
        <v>60</v>
      </c>
      <c r="K46" s="33" t="s">
        <v>243</v>
      </c>
      <c r="L46" s="33" t="s">
        <v>142</v>
      </c>
      <c r="M46" s="67" t="s">
        <v>645</v>
      </c>
      <c r="N46" s="92"/>
      <c r="O46" s="93" t="s">
        <v>653</v>
      </c>
      <c r="P46" s="92" t="s">
        <v>249</v>
      </c>
      <c r="AI46" s="91"/>
    </row>
    <row r="47" spans="1:35" s="32" customFormat="1" x14ac:dyDescent="0.25">
      <c r="A47" s="33">
        <f>IF(ISBLANK(E47),"",_xlfn.XLOOKUP(E47,Info!A:A,Info!B:B))</f>
        <v>10</v>
      </c>
      <c r="B47" s="33" t="s">
        <v>266</v>
      </c>
      <c r="C47" s="33" t="s">
        <v>187</v>
      </c>
      <c r="D47" s="54" t="s">
        <v>239</v>
      </c>
      <c r="E47" s="91">
        <v>46121</v>
      </c>
      <c r="F47" s="54" t="s">
        <v>631</v>
      </c>
      <c r="G47" s="33">
        <f>IF(ISBLANK(H47),"",_xlfn.XLOOKUP(H47,Info!A:A,Info!B:B))</f>
        <v>10</v>
      </c>
      <c r="H47" s="98">
        <v>46120</v>
      </c>
      <c r="I47" s="103">
        <v>0.625</v>
      </c>
      <c r="J47" s="33">
        <v>30</v>
      </c>
      <c r="K47" s="33" t="s">
        <v>142</v>
      </c>
      <c r="L47" s="33" t="s">
        <v>142</v>
      </c>
      <c r="M47" s="67" t="s">
        <v>645</v>
      </c>
      <c r="N47" s="92"/>
      <c r="O47" s="93" t="s">
        <v>342</v>
      </c>
      <c r="P47" s="92"/>
      <c r="AI47" s="91"/>
    </row>
    <row r="48" spans="1:35" s="32" customFormat="1" x14ac:dyDescent="0.25">
      <c r="A48" s="33">
        <f>IF(ISBLANK(E48),"",_xlfn.XLOOKUP(E48,Info!A:A,Info!B:B))</f>
        <v>10</v>
      </c>
      <c r="B48" s="33" t="s">
        <v>266</v>
      </c>
      <c r="C48" s="33" t="s">
        <v>187</v>
      </c>
      <c r="D48" s="54" t="s">
        <v>260</v>
      </c>
      <c r="E48" s="91">
        <v>46122</v>
      </c>
      <c r="F48" s="54" t="s">
        <v>257</v>
      </c>
      <c r="G48" s="33">
        <f>IF(ISBLANK(H48),"",_xlfn.XLOOKUP(H48,Info!A:A,Info!B:B))</f>
        <v>10</v>
      </c>
      <c r="H48" s="98">
        <v>46121</v>
      </c>
      <c r="I48" s="103">
        <v>0.5</v>
      </c>
      <c r="J48" s="33">
        <v>30</v>
      </c>
      <c r="K48" s="33" t="s">
        <v>258</v>
      </c>
      <c r="L48" s="33" t="s">
        <v>142</v>
      </c>
      <c r="M48" s="67" t="s">
        <v>247</v>
      </c>
      <c r="N48" s="92" t="s">
        <v>264</v>
      </c>
      <c r="O48" s="93" t="s">
        <v>653</v>
      </c>
      <c r="P48" s="92" t="s">
        <v>344</v>
      </c>
      <c r="AI48" s="91"/>
    </row>
    <row r="49" spans="1:35" s="32" customFormat="1" x14ac:dyDescent="0.25">
      <c r="A49" s="33">
        <f>IF(ISBLANK(E49),"",_xlfn.XLOOKUP(E49,Info!A:A,Info!B:B))</f>
        <v>11</v>
      </c>
      <c r="B49" s="33" t="s">
        <v>266</v>
      </c>
      <c r="C49" s="33" t="s">
        <v>187</v>
      </c>
      <c r="D49" s="54" t="s">
        <v>242</v>
      </c>
      <c r="E49" s="91">
        <v>46125</v>
      </c>
      <c r="F49" s="54" t="s">
        <v>571</v>
      </c>
      <c r="G49" s="33">
        <f>IF(ISBLANK(H49),"",_xlfn.XLOOKUP(H49,Info!A:A,Info!B:B))</f>
        <v>11</v>
      </c>
      <c r="H49" s="98">
        <f>E49-1</f>
        <v>46124</v>
      </c>
      <c r="I49" s="103">
        <v>0.625</v>
      </c>
      <c r="J49" s="33">
        <v>60</v>
      </c>
      <c r="K49" s="33" t="s">
        <v>560</v>
      </c>
      <c r="L49" s="33"/>
      <c r="M49" s="67" t="s">
        <v>237</v>
      </c>
      <c r="N49" s="92" t="s">
        <v>648</v>
      </c>
      <c r="O49" s="93" t="s">
        <v>653</v>
      </c>
      <c r="P49" s="92" t="s">
        <v>555</v>
      </c>
      <c r="AI49" s="91"/>
    </row>
    <row r="50" spans="1:35" s="32" customFormat="1" x14ac:dyDescent="0.25">
      <c r="A50" s="33">
        <f>IF(ISBLANK(E50),"",_xlfn.XLOOKUP(E50,Info!A:A,Info!B:B))</f>
        <v>11</v>
      </c>
      <c r="B50" s="33" t="s">
        <v>266</v>
      </c>
      <c r="C50" s="33" t="s">
        <v>187</v>
      </c>
      <c r="D50" s="54" t="s">
        <v>410</v>
      </c>
      <c r="E50" s="91">
        <v>46125</v>
      </c>
      <c r="F50" s="54" t="s">
        <v>411</v>
      </c>
      <c r="G50" s="33">
        <f>IF(ISBLANK(H50),"",_xlfn.XLOOKUP(H50,Info!A:A,Info!B:B))</f>
        <v>11</v>
      </c>
      <c r="H50" s="98">
        <v>46125</v>
      </c>
      <c r="I50" s="103">
        <v>0.5</v>
      </c>
      <c r="J50" s="33">
        <v>40</v>
      </c>
      <c r="K50" s="33" t="s">
        <v>142</v>
      </c>
      <c r="L50" s="33" t="s">
        <v>142</v>
      </c>
      <c r="M50" s="67" t="s">
        <v>247</v>
      </c>
      <c r="N50" s="92" t="s">
        <v>412</v>
      </c>
      <c r="O50" s="118" t="s">
        <v>413</v>
      </c>
      <c r="P50" s="92" t="s">
        <v>340</v>
      </c>
      <c r="AI50" s="91"/>
    </row>
    <row r="51" spans="1:35" s="32" customFormat="1" x14ac:dyDescent="0.25">
      <c r="A51" s="33">
        <f>IF(ISBLANK(E51),"",_xlfn.XLOOKUP(E51,Info!A:A,Info!B:B))</f>
        <v>11</v>
      </c>
      <c r="B51" s="33" t="s">
        <v>266</v>
      </c>
      <c r="C51" s="33" t="s">
        <v>187</v>
      </c>
      <c r="D51" s="54" t="s">
        <v>259</v>
      </c>
      <c r="E51" s="91">
        <v>46127</v>
      </c>
      <c r="F51" s="54" t="s">
        <v>257</v>
      </c>
      <c r="G51" s="33">
        <f>IF(ISBLANK(H51),"",_xlfn.XLOOKUP(H51,Info!A:A,Info!B:B))</f>
        <v>10</v>
      </c>
      <c r="H51" s="98">
        <v>46122</v>
      </c>
      <c r="I51" s="103">
        <v>0.625</v>
      </c>
      <c r="J51" s="33">
        <v>30</v>
      </c>
      <c r="K51" s="33" t="s">
        <v>263</v>
      </c>
      <c r="L51" s="33" t="s">
        <v>142</v>
      </c>
      <c r="M51" s="67" t="s">
        <v>481</v>
      </c>
      <c r="N51" s="92" t="s">
        <v>504</v>
      </c>
      <c r="O51" s="93" t="s">
        <v>653</v>
      </c>
      <c r="P51" s="92" t="s">
        <v>423</v>
      </c>
      <c r="AI51" s="91"/>
    </row>
    <row r="52" spans="1:35" s="32" customFormat="1" x14ac:dyDescent="0.25">
      <c r="A52" s="33">
        <f>IF(ISBLANK(E52),"",_xlfn.XLOOKUP(E52,Info!A:A,Info!B:B))</f>
        <v>11</v>
      </c>
      <c r="B52" s="33" t="s">
        <v>266</v>
      </c>
      <c r="C52" s="33" t="s">
        <v>187</v>
      </c>
      <c r="D52" s="54" t="s">
        <v>239</v>
      </c>
      <c r="E52" s="91">
        <v>46129</v>
      </c>
      <c r="F52" s="54" t="s">
        <v>272</v>
      </c>
      <c r="G52" s="33">
        <f>IF(ISBLANK(H52),"",_xlfn.XLOOKUP(H52,Info!A:A,Info!B:B))</f>
        <v>11</v>
      </c>
      <c r="H52" s="98">
        <f t="shared" ref="H52:H58" si="2">E52-1</f>
        <v>46128</v>
      </c>
      <c r="I52" s="103">
        <v>0.625</v>
      </c>
      <c r="J52" s="33">
        <v>30</v>
      </c>
      <c r="K52" s="33" t="s">
        <v>271</v>
      </c>
      <c r="L52" s="33" t="s">
        <v>271</v>
      </c>
      <c r="M52" s="67" t="s">
        <v>481</v>
      </c>
      <c r="N52" s="92" t="s">
        <v>502</v>
      </c>
      <c r="O52" s="93" t="s">
        <v>347</v>
      </c>
      <c r="P52" s="92" t="s">
        <v>340</v>
      </c>
      <c r="AI52" s="91"/>
    </row>
    <row r="53" spans="1:35" s="32" customFormat="1" x14ac:dyDescent="0.25">
      <c r="A53" s="33">
        <f>IF(ISBLANK(E53),"",_xlfn.XLOOKUP(E53,Info!A:A,Info!B:B))</f>
        <v>11</v>
      </c>
      <c r="B53" s="33" t="s">
        <v>266</v>
      </c>
      <c r="C53" s="33" t="s">
        <v>187</v>
      </c>
      <c r="D53" s="54" t="s">
        <v>239</v>
      </c>
      <c r="E53" s="91">
        <v>46129</v>
      </c>
      <c r="F53" s="54" t="s">
        <v>346</v>
      </c>
      <c r="G53" s="33">
        <f>IF(ISBLANK(H53),"",_xlfn.XLOOKUP(H53,Info!A:A,Info!B:B))</f>
        <v>11</v>
      </c>
      <c r="H53" s="98">
        <f t="shared" si="2"/>
        <v>46128</v>
      </c>
      <c r="I53" s="103">
        <v>0.625</v>
      </c>
      <c r="J53" s="33">
        <v>30</v>
      </c>
      <c r="K53" s="33" t="s">
        <v>421</v>
      </c>
      <c r="L53" s="33" t="s">
        <v>421</v>
      </c>
      <c r="M53" s="67" t="s">
        <v>503</v>
      </c>
      <c r="N53" s="92" t="s">
        <v>650</v>
      </c>
      <c r="O53" s="93" t="s">
        <v>347</v>
      </c>
      <c r="P53" s="92" t="s">
        <v>343</v>
      </c>
      <c r="AI53" s="91"/>
    </row>
    <row r="54" spans="1:35" s="32" customFormat="1" x14ac:dyDescent="0.25">
      <c r="A54" s="33">
        <f>IF(ISBLANK(E54),"",_xlfn.XLOOKUP(E54,Info!A:A,Info!B:B))</f>
        <v>12</v>
      </c>
      <c r="B54" s="33" t="s">
        <v>266</v>
      </c>
      <c r="C54" s="33" t="s">
        <v>187</v>
      </c>
      <c r="D54" s="54" t="s">
        <v>242</v>
      </c>
      <c r="E54" s="91">
        <v>46133</v>
      </c>
      <c r="F54" s="54" t="s">
        <v>569</v>
      </c>
      <c r="G54" s="33">
        <f>IF(ISBLANK(H54),"",_xlfn.XLOOKUP(H54,Info!A:A,Info!B:B))</f>
        <v>12</v>
      </c>
      <c r="H54" s="98">
        <f t="shared" si="2"/>
        <v>46132</v>
      </c>
      <c r="I54" s="103">
        <v>0.625</v>
      </c>
      <c r="J54" s="33">
        <v>60</v>
      </c>
      <c r="K54" s="33" t="s">
        <v>561</v>
      </c>
      <c r="L54" s="33"/>
      <c r="M54" s="67" t="s">
        <v>237</v>
      </c>
      <c r="N54" s="92" t="s">
        <v>648</v>
      </c>
      <c r="O54" s="93" t="s">
        <v>653</v>
      </c>
      <c r="P54" s="92" t="s">
        <v>558</v>
      </c>
      <c r="AI54" s="91"/>
    </row>
    <row r="55" spans="1:35" s="32" customFormat="1" x14ac:dyDescent="0.25">
      <c r="A55" s="33">
        <f>IF(ISBLANK(E55),"",_xlfn.XLOOKUP(E55,Info!A:A,Info!B:B))</f>
        <v>12</v>
      </c>
      <c r="B55" s="33" t="s">
        <v>266</v>
      </c>
      <c r="C55" s="33" t="s">
        <v>187</v>
      </c>
      <c r="D55" s="54" t="s">
        <v>242</v>
      </c>
      <c r="E55" s="91">
        <v>46133</v>
      </c>
      <c r="F55" s="54" t="s">
        <v>570</v>
      </c>
      <c r="G55" s="33">
        <f>IF(ISBLANK(H55),"",_xlfn.XLOOKUP(H55,Info!A:A,Info!B:B))</f>
        <v>12</v>
      </c>
      <c r="H55" s="98">
        <f t="shared" si="2"/>
        <v>46132</v>
      </c>
      <c r="I55" s="103">
        <v>0.5</v>
      </c>
      <c r="J55" s="33">
        <v>30</v>
      </c>
      <c r="K55" s="33" t="s">
        <v>258</v>
      </c>
      <c r="L55" s="33" t="s">
        <v>142</v>
      </c>
      <c r="M55" s="67" t="s">
        <v>237</v>
      </c>
      <c r="N55" s="92" t="s">
        <v>275</v>
      </c>
      <c r="O55" s="93" t="s">
        <v>653</v>
      </c>
      <c r="P55" s="92" t="s">
        <v>274</v>
      </c>
      <c r="AI55" s="91"/>
    </row>
    <row r="56" spans="1:35" s="32" customFormat="1" x14ac:dyDescent="0.25">
      <c r="A56" s="33">
        <f>IF(ISBLANK(E56),"",_xlfn.XLOOKUP(E56,Info!A:A,Info!B:B))</f>
        <v>12</v>
      </c>
      <c r="B56" s="33" t="s">
        <v>266</v>
      </c>
      <c r="C56" s="33" t="s">
        <v>187</v>
      </c>
      <c r="D56" s="54" t="s">
        <v>239</v>
      </c>
      <c r="E56" s="91">
        <v>46135</v>
      </c>
      <c r="F56" s="54" t="s">
        <v>273</v>
      </c>
      <c r="G56" s="33">
        <f>IF(ISBLANK(H56),"",_xlfn.XLOOKUP(H56,Info!A:A,Info!B:B))</f>
        <v>12</v>
      </c>
      <c r="H56" s="98">
        <f t="shared" si="2"/>
        <v>46134</v>
      </c>
      <c r="I56" s="103">
        <v>0.625</v>
      </c>
      <c r="J56" s="33">
        <v>30</v>
      </c>
      <c r="K56" s="33" t="s">
        <v>271</v>
      </c>
      <c r="L56" s="33" t="s">
        <v>271</v>
      </c>
      <c r="M56" s="67" t="s">
        <v>247</v>
      </c>
      <c r="N56" s="92" t="s">
        <v>576</v>
      </c>
      <c r="O56" s="93" t="s">
        <v>341</v>
      </c>
      <c r="P56" s="92" t="s">
        <v>340</v>
      </c>
      <c r="AI56" s="91"/>
    </row>
    <row r="57" spans="1:35" s="32" customFormat="1" x14ac:dyDescent="0.25">
      <c r="A57" s="33">
        <f>IF(ISBLANK(E57),"",_xlfn.XLOOKUP(E57,Info!A:A,Info!B:B))</f>
        <v>12</v>
      </c>
      <c r="B57" s="33" t="s">
        <v>266</v>
      </c>
      <c r="C57" s="33" t="s">
        <v>187</v>
      </c>
      <c r="D57" s="54" t="s">
        <v>242</v>
      </c>
      <c r="E57" s="91">
        <v>46135</v>
      </c>
      <c r="F57" s="54" t="s">
        <v>632</v>
      </c>
      <c r="G57" s="33">
        <f>IF(ISBLANK(H57),"",_xlfn.XLOOKUP(H57,Info!A:A,Info!B:B))</f>
        <v>12</v>
      </c>
      <c r="H57" s="98">
        <f t="shared" si="2"/>
        <v>46134</v>
      </c>
      <c r="I57" s="103">
        <v>0.625</v>
      </c>
      <c r="J57" s="33">
        <v>60</v>
      </c>
      <c r="K57" s="33" t="s">
        <v>562</v>
      </c>
      <c r="L57" s="33"/>
      <c r="M57" s="67" t="s">
        <v>237</v>
      </c>
      <c r="N57" s="92" t="s">
        <v>648</v>
      </c>
      <c r="O57" s="93" t="s">
        <v>653</v>
      </c>
      <c r="P57" s="92" t="s">
        <v>654</v>
      </c>
      <c r="AI57" s="91"/>
    </row>
    <row r="58" spans="1:35" s="32" customFormat="1" x14ac:dyDescent="0.25">
      <c r="A58" s="33">
        <f>IF(ISBLANK(E58),"",_xlfn.XLOOKUP(E58,Info!A:A,Info!B:B))</f>
        <v>12</v>
      </c>
      <c r="B58" s="33" t="s">
        <v>266</v>
      </c>
      <c r="C58" s="33" t="s">
        <v>187</v>
      </c>
      <c r="D58" s="54" t="s">
        <v>410</v>
      </c>
      <c r="E58" s="91">
        <v>46135</v>
      </c>
      <c r="F58" s="54" t="s">
        <v>545</v>
      </c>
      <c r="G58" s="33">
        <f>IF(ISBLANK(H58),"",_xlfn.XLOOKUP(H58,Info!A:A,Info!B:B))</f>
        <v>12</v>
      </c>
      <c r="H58" s="98">
        <f t="shared" si="2"/>
        <v>46134</v>
      </c>
      <c r="I58" s="103">
        <v>0.66666666666666663</v>
      </c>
      <c r="J58" s="33">
        <v>15</v>
      </c>
      <c r="K58" s="33" t="s">
        <v>421</v>
      </c>
      <c r="L58" s="33" t="s">
        <v>421</v>
      </c>
      <c r="M58" s="67" t="s">
        <v>247</v>
      </c>
      <c r="N58" s="92" t="s">
        <v>481</v>
      </c>
      <c r="O58" s="93" t="s">
        <v>341</v>
      </c>
      <c r="P58" s="92"/>
      <c r="AI58" s="91"/>
    </row>
    <row r="59" spans="1:35" s="32" customFormat="1" x14ac:dyDescent="0.25">
      <c r="A59" s="33">
        <f>IF(ISBLANK(E59),"",_xlfn.XLOOKUP(E59,Info!A:A,Info!B:B))</f>
        <v>12</v>
      </c>
      <c r="B59" s="33" t="s">
        <v>266</v>
      </c>
      <c r="C59" s="33" t="s">
        <v>187</v>
      </c>
      <c r="D59" s="54" t="s">
        <v>242</v>
      </c>
      <c r="E59" s="91">
        <v>46136</v>
      </c>
      <c r="F59" s="54" t="s">
        <v>633</v>
      </c>
      <c r="G59" s="33">
        <f>IF(ISBLANK(H59),"",_xlfn.XLOOKUP(H59,Info!A:A,Info!B:B))</f>
        <v>12</v>
      </c>
      <c r="H59" s="98">
        <v>46135</v>
      </c>
      <c r="I59" s="103">
        <v>0.66666666666666663</v>
      </c>
      <c r="J59" s="33">
        <v>60</v>
      </c>
      <c r="K59" s="33" t="s">
        <v>243</v>
      </c>
      <c r="L59" s="33" t="s">
        <v>243</v>
      </c>
      <c r="M59" s="67" t="s">
        <v>247</v>
      </c>
      <c r="N59" s="92" t="s">
        <v>585</v>
      </c>
      <c r="O59" s="118" t="s">
        <v>577</v>
      </c>
      <c r="P59" s="92" t="s">
        <v>572</v>
      </c>
      <c r="AI59" s="91"/>
    </row>
    <row r="60" spans="1:35" s="32" customFormat="1" x14ac:dyDescent="0.25">
      <c r="A60" s="33">
        <f>IF(ISBLANK(E60),"",_xlfn.XLOOKUP(E60,Info!A:A,Info!B:B))</f>
        <v>13</v>
      </c>
      <c r="B60" s="33" t="s">
        <v>266</v>
      </c>
      <c r="C60" s="33" t="s">
        <v>187</v>
      </c>
      <c r="D60" s="54" t="s">
        <v>242</v>
      </c>
      <c r="E60" s="91">
        <v>46139</v>
      </c>
      <c r="F60" s="54" t="s">
        <v>568</v>
      </c>
      <c r="G60" s="33">
        <f>IF(ISBLANK(H60),"",_xlfn.XLOOKUP(H60,Info!A:A,Info!B:B))</f>
        <v>13</v>
      </c>
      <c r="H60" s="98">
        <f>E60-1</f>
        <v>46138</v>
      </c>
      <c r="I60" s="103">
        <v>0.625</v>
      </c>
      <c r="J60" s="33">
        <v>60</v>
      </c>
      <c r="K60" s="33" t="s">
        <v>564</v>
      </c>
      <c r="L60" s="33"/>
      <c r="M60" s="67" t="s">
        <v>237</v>
      </c>
      <c r="N60" s="92" t="s">
        <v>648</v>
      </c>
      <c r="O60" s="93" t="s">
        <v>653</v>
      </c>
      <c r="P60" s="92" t="s">
        <v>559</v>
      </c>
      <c r="AI60" s="91"/>
    </row>
    <row r="61" spans="1:35" s="32" customFormat="1" x14ac:dyDescent="0.25">
      <c r="A61" s="33">
        <f>IF(ISBLANK(E61),"",_xlfn.XLOOKUP(E61,Info!A:A,Info!B:B))</f>
        <v>13</v>
      </c>
      <c r="B61" s="33" t="s">
        <v>266</v>
      </c>
      <c r="C61" s="33" t="s">
        <v>187</v>
      </c>
      <c r="D61" s="54" t="s">
        <v>410</v>
      </c>
      <c r="E61" s="91">
        <v>46139</v>
      </c>
      <c r="F61" s="54" t="s">
        <v>573</v>
      </c>
      <c r="G61" s="33">
        <f>IF(ISBLANK(H61),"",_xlfn.XLOOKUP(H61,Info!A:A,Info!B:B))</f>
        <v>12</v>
      </c>
      <c r="H61" s="98">
        <v>46136</v>
      </c>
      <c r="I61" s="103">
        <v>0.66666666666666663</v>
      </c>
      <c r="J61" s="33">
        <v>60</v>
      </c>
      <c r="K61" s="33" t="s">
        <v>142</v>
      </c>
      <c r="L61" s="33" t="s">
        <v>142</v>
      </c>
      <c r="M61" s="67" t="s">
        <v>237</v>
      </c>
      <c r="O61" s="118" t="s">
        <v>574</v>
      </c>
      <c r="P61" s="92" t="s">
        <v>340</v>
      </c>
      <c r="AI61" s="91"/>
    </row>
    <row r="62" spans="1:35" s="32" customFormat="1" x14ac:dyDescent="0.25">
      <c r="A62" s="33">
        <f>IF(ISBLANK(E62),"",_xlfn.XLOOKUP(E62,Info!A:A,Info!B:B))</f>
        <v>13</v>
      </c>
      <c r="B62" s="33" t="s">
        <v>266</v>
      </c>
      <c r="C62" s="33" t="s">
        <v>187</v>
      </c>
      <c r="D62" s="54" t="s">
        <v>239</v>
      </c>
      <c r="E62" s="91">
        <v>46142</v>
      </c>
      <c r="F62" s="54" t="s">
        <v>546</v>
      </c>
      <c r="G62" s="33">
        <f>IF(ISBLANK(H62),"",_xlfn.XLOOKUP(H62,Info!A:A,Info!B:B))</f>
        <v>13</v>
      </c>
      <c r="H62" s="98">
        <f>E62-1</f>
        <v>46141</v>
      </c>
      <c r="I62" s="103">
        <v>0.66666666666666663</v>
      </c>
      <c r="J62" s="33">
        <v>15</v>
      </c>
      <c r="K62" s="33" t="s">
        <v>235</v>
      </c>
      <c r="L62" s="33" t="s">
        <v>235</v>
      </c>
      <c r="M62" s="67" t="s">
        <v>247</v>
      </c>
      <c r="N62" s="92" t="s">
        <v>651</v>
      </c>
      <c r="O62" s="118" t="s">
        <v>591</v>
      </c>
      <c r="P62" s="92" t="s">
        <v>340</v>
      </c>
      <c r="AI62" s="91"/>
    </row>
    <row r="63" spans="1:35" s="32" customFormat="1" x14ac:dyDescent="0.25">
      <c r="A63" s="33">
        <f>IF(ISBLANK(E63),"",_xlfn.XLOOKUP(E63,Info!A:A,Info!B:B))</f>
        <v>13</v>
      </c>
      <c r="B63" s="33" t="s">
        <v>266</v>
      </c>
      <c r="C63" s="33" t="s">
        <v>187</v>
      </c>
      <c r="D63" s="54" t="s">
        <v>239</v>
      </c>
      <c r="E63" s="91">
        <v>46142</v>
      </c>
      <c r="F63" s="54" t="s">
        <v>232</v>
      </c>
      <c r="G63" s="33">
        <f>IF(ISBLANK(H63),"",_xlfn.XLOOKUP(H63,Info!A:A,Info!B:B))</f>
        <v>13</v>
      </c>
      <c r="H63" s="98">
        <f>E63-1</f>
        <v>46141</v>
      </c>
      <c r="I63" s="103">
        <v>0.16666666666666666</v>
      </c>
      <c r="J63" s="33">
        <v>45</v>
      </c>
      <c r="K63" s="33" t="s">
        <v>142</v>
      </c>
      <c r="L63" s="33" t="s">
        <v>142</v>
      </c>
      <c r="M63" s="67" t="s">
        <v>237</v>
      </c>
      <c r="N63" s="92"/>
      <c r="O63" s="118" t="s">
        <v>591</v>
      </c>
      <c r="P63" s="92" t="s">
        <v>340</v>
      </c>
      <c r="AI63" s="91"/>
    </row>
    <row r="64" spans="1:35" s="32" customFormat="1" x14ac:dyDescent="0.25">
      <c r="A64" s="33">
        <f>IF(ISBLANK(E64),"",_xlfn.XLOOKUP(E64,Info!A:A,Info!B:B))</f>
        <v>13</v>
      </c>
      <c r="B64" s="33" t="s">
        <v>266</v>
      </c>
      <c r="C64" s="33" t="s">
        <v>187</v>
      </c>
      <c r="D64" s="54" t="s">
        <v>239</v>
      </c>
      <c r="E64" s="91">
        <v>46143</v>
      </c>
      <c r="F64" s="54" t="s">
        <v>596</v>
      </c>
      <c r="G64" s="33">
        <f>IF(ISBLANK(H64),"",_xlfn.XLOOKUP(H64,Info!A:A,Info!B:B))</f>
        <v>13</v>
      </c>
      <c r="H64" s="98">
        <f>E64-2</f>
        <v>46141</v>
      </c>
      <c r="I64" s="103">
        <v>0.66666666666666663</v>
      </c>
      <c r="J64" s="33">
        <v>60</v>
      </c>
      <c r="K64" s="33" t="s">
        <v>263</v>
      </c>
      <c r="L64" s="33" t="s">
        <v>142</v>
      </c>
      <c r="M64" s="67" t="s">
        <v>645</v>
      </c>
      <c r="N64" s="92"/>
      <c r="O64" s="93" t="s">
        <v>653</v>
      </c>
      <c r="P64" s="92" t="s">
        <v>655</v>
      </c>
      <c r="AI64" s="91"/>
    </row>
    <row r="65" spans="1:35" s="32" customFormat="1" x14ac:dyDescent="0.25">
      <c r="A65" s="33">
        <f>IF(ISBLANK(E65),"",_xlfn.XLOOKUP(E65,Info!A:A,Info!B:B))</f>
        <v>13</v>
      </c>
      <c r="B65" s="33" t="s">
        <v>266</v>
      </c>
      <c r="C65" s="33" t="s">
        <v>187</v>
      </c>
      <c r="D65" s="54" t="s">
        <v>242</v>
      </c>
      <c r="E65" s="91">
        <v>46143</v>
      </c>
      <c r="F65" s="54" t="s">
        <v>634</v>
      </c>
      <c r="G65" s="33">
        <f>IF(ISBLANK(H65),"",_xlfn.XLOOKUP(H65,Info!A:A,Info!B:B))</f>
        <v>13</v>
      </c>
      <c r="H65" s="98">
        <f>E65-1</f>
        <v>46142</v>
      </c>
      <c r="I65" s="103">
        <v>0.625</v>
      </c>
      <c r="J65" s="33">
        <v>60</v>
      </c>
      <c r="K65" s="33" t="s">
        <v>561</v>
      </c>
      <c r="L65" s="33"/>
      <c r="M65" s="67" t="s">
        <v>237</v>
      </c>
      <c r="N65" s="92" t="s">
        <v>648</v>
      </c>
      <c r="O65" s="93" t="s">
        <v>653</v>
      </c>
      <c r="P65" s="92" t="s">
        <v>556</v>
      </c>
      <c r="AI65" s="91"/>
    </row>
    <row r="66" spans="1:35" s="32" customFormat="1" x14ac:dyDescent="0.25">
      <c r="A66" s="33">
        <f>IF(ISBLANK(E66),"",_xlfn.XLOOKUP(E66,Info!A:A,Info!B:B))</f>
        <v>14</v>
      </c>
      <c r="B66" s="33" t="s">
        <v>266</v>
      </c>
      <c r="C66" s="33" t="s">
        <v>187</v>
      </c>
      <c r="D66" s="54" t="s">
        <v>297</v>
      </c>
      <c r="E66" s="91">
        <v>46146</v>
      </c>
      <c r="F66" s="54" t="s">
        <v>257</v>
      </c>
      <c r="G66" s="33">
        <f>IF(ISBLANK(H66),"",_xlfn.XLOOKUP(H66,Info!A:A,Info!B:B))</f>
        <v>13</v>
      </c>
      <c r="H66" s="98">
        <v>46139</v>
      </c>
      <c r="I66" s="103">
        <v>0.5</v>
      </c>
      <c r="J66" s="33">
        <v>30</v>
      </c>
      <c r="K66" s="33" t="s">
        <v>422</v>
      </c>
      <c r="L66" s="33" t="s">
        <v>142</v>
      </c>
      <c r="M66" s="67" t="s">
        <v>247</v>
      </c>
      <c r="N66" s="92" t="s">
        <v>264</v>
      </c>
      <c r="O66" s="93" t="s">
        <v>653</v>
      </c>
      <c r="P66" s="92" t="s">
        <v>559</v>
      </c>
      <c r="AI66" s="91"/>
    </row>
    <row r="67" spans="1:35" s="32" customFormat="1" x14ac:dyDescent="0.25">
      <c r="A67" s="33">
        <f>IF(ISBLANK(E67),"",_xlfn.XLOOKUP(E67,Info!A:A,Info!B:B))</f>
        <v>14</v>
      </c>
      <c r="B67" s="33" t="s">
        <v>266</v>
      </c>
      <c r="C67" s="33" t="s">
        <v>187</v>
      </c>
      <c r="D67" s="54" t="s">
        <v>239</v>
      </c>
      <c r="E67" s="91">
        <v>46146</v>
      </c>
      <c r="F67" s="54" t="s">
        <v>635</v>
      </c>
      <c r="G67" s="33">
        <f>IF(ISBLANK(H67),"",_xlfn.XLOOKUP(H67,Info!A:A,Info!B:B))</f>
        <v>13</v>
      </c>
      <c r="H67" s="98">
        <v>46143</v>
      </c>
      <c r="I67" s="103">
        <v>0.16666666666666666</v>
      </c>
      <c r="J67" s="33">
        <v>20</v>
      </c>
      <c r="K67" s="33" t="s">
        <v>581</v>
      </c>
      <c r="L67" s="33" t="s">
        <v>142</v>
      </c>
      <c r="M67" s="67" t="s">
        <v>247</v>
      </c>
      <c r="N67" s="92" t="s">
        <v>599</v>
      </c>
      <c r="O67" s="118" t="s">
        <v>592</v>
      </c>
      <c r="P67" s="92" t="s">
        <v>590</v>
      </c>
      <c r="AI67" s="91"/>
    </row>
    <row r="68" spans="1:35" s="32" customFormat="1" x14ac:dyDescent="0.25">
      <c r="A68" s="33">
        <f>IF(ISBLANK(E68),"",_xlfn.XLOOKUP(E68,Info!A:A,Info!B:B))</f>
        <v>14</v>
      </c>
      <c r="B68" s="33" t="s">
        <v>266</v>
      </c>
      <c r="C68" s="33" t="s">
        <v>187</v>
      </c>
      <c r="D68" s="54" t="s">
        <v>239</v>
      </c>
      <c r="E68" s="91">
        <v>46146</v>
      </c>
      <c r="F68" s="54" t="s">
        <v>580</v>
      </c>
      <c r="G68" s="33">
        <f>IF(ISBLANK(H68),"",_xlfn.XLOOKUP(H68,Info!A:A,Info!B:B))</f>
        <v>13</v>
      </c>
      <c r="H68" s="98">
        <v>46143</v>
      </c>
      <c r="I68" s="103">
        <v>0.66666666666666663</v>
      </c>
      <c r="J68" s="33">
        <v>20</v>
      </c>
      <c r="K68" s="33" t="s">
        <v>597</v>
      </c>
      <c r="L68" s="33" t="s">
        <v>597</v>
      </c>
      <c r="M68" s="67" t="s">
        <v>247</v>
      </c>
      <c r="N68" s="92" t="s">
        <v>652</v>
      </c>
      <c r="O68" s="118" t="s">
        <v>592</v>
      </c>
      <c r="P68" s="92" t="s">
        <v>340</v>
      </c>
      <c r="AI68" s="91"/>
    </row>
    <row r="69" spans="1:35" s="32" customFormat="1" x14ac:dyDescent="0.25">
      <c r="A69" s="33">
        <f>IF(ISBLANK(E69),"",_xlfn.XLOOKUP(E69,Info!A:A,Info!B:B))</f>
        <v>14</v>
      </c>
      <c r="B69" s="33" t="s">
        <v>266</v>
      </c>
      <c r="C69" s="33" t="s">
        <v>187</v>
      </c>
      <c r="D69" s="54" t="s">
        <v>239</v>
      </c>
      <c r="E69" s="91">
        <v>46146</v>
      </c>
      <c r="F69" s="54" t="s">
        <v>636</v>
      </c>
      <c r="G69" s="33">
        <f>IF(ISBLANK(H69),"",_xlfn.XLOOKUP(H69,Info!A:A,Info!B:B))</f>
        <v>13</v>
      </c>
      <c r="H69" s="98">
        <v>46143</v>
      </c>
      <c r="I69" s="103">
        <v>0.66666666666666663</v>
      </c>
      <c r="J69" s="33">
        <v>20</v>
      </c>
      <c r="K69" s="33" t="s">
        <v>142</v>
      </c>
      <c r="L69" s="33" t="s">
        <v>142</v>
      </c>
      <c r="M69" s="67" t="s">
        <v>247</v>
      </c>
      <c r="N69" s="92"/>
      <c r="O69" s="118" t="s">
        <v>592</v>
      </c>
      <c r="P69" s="92"/>
      <c r="AI69" s="91"/>
    </row>
    <row r="70" spans="1:35" s="32" customFormat="1" x14ac:dyDescent="0.25">
      <c r="A70" s="33">
        <f>IF(ISBLANK(E70),"",_xlfn.XLOOKUP(E70,Info!A:A,Info!B:B))</f>
        <v>14</v>
      </c>
      <c r="B70" s="33" t="s">
        <v>266</v>
      </c>
      <c r="C70" s="33" t="s">
        <v>187</v>
      </c>
      <c r="D70" s="54" t="s">
        <v>242</v>
      </c>
      <c r="E70" s="91">
        <v>46147</v>
      </c>
      <c r="F70" s="54" t="s">
        <v>567</v>
      </c>
      <c r="G70" s="33">
        <f>IF(ISBLANK(H70),"",_xlfn.XLOOKUP(H70,Info!A:A,Info!B:B))</f>
        <v>14</v>
      </c>
      <c r="H70" s="98">
        <f>E70-1</f>
        <v>46146</v>
      </c>
      <c r="I70" s="103">
        <v>0.625</v>
      </c>
      <c r="J70" s="33">
        <v>60</v>
      </c>
      <c r="K70" s="33" t="s">
        <v>563</v>
      </c>
      <c r="L70" s="33"/>
      <c r="M70" s="67" t="s">
        <v>237</v>
      </c>
      <c r="N70" s="92" t="s">
        <v>648</v>
      </c>
      <c r="O70" s="93" t="s">
        <v>653</v>
      </c>
      <c r="P70" s="92" t="s">
        <v>557</v>
      </c>
      <c r="AI70" s="91"/>
    </row>
    <row r="71" spans="1:35" s="32" customFormat="1" ht="30" x14ac:dyDescent="0.25">
      <c r="A71" s="33">
        <f>IF(ISBLANK(E71),"",_xlfn.XLOOKUP(E71,Info!A:A,Info!B:B))</f>
        <v>14</v>
      </c>
      <c r="B71" s="33" t="s">
        <v>266</v>
      </c>
      <c r="C71" s="33" t="s">
        <v>187</v>
      </c>
      <c r="D71" s="54" t="s">
        <v>239</v>
      </c>
      <c r="E71" s="91">
        <v>46150</v>
      </c>
      <c r="F71" s="54" t="s">
        <v>637</v>
      </c>
      <c r="G71" s="33">
        <f>IF(ISBLANK(H71),"",_xlfn.XLOOKUP(H71,Info!A:A,Info!B:B))</f>
        <v>14</v>
      </c>
      <c r="H71" s="98">
        <f>E71-1</f>
        <v>46149</v>
      </c>
      <c r="I71" s="103">
        <v>0.66666666666666663</v>
      </c>
      <c r="J71" s="33">
        <v>45</v>
      </c>
      <c r="K71" s="33" t="s">
        <v>142</v>
      </c>
      <c r="L71" s="33" t="s">
        <v>142</v>
      </c>
      <c r="M71" s="67" t="s">
        <v>247</v>
      </c>
      <c r="N71" s="92" t="s">
        <v>607</v>
      </c>
      <c r="O71" s="118" t="s">
        <v>606</v>
      </c>
      <c r="P71" s="92"/>
      <c r="AI71" s="91"/>
    </row>
    <row r="72" spans="1:35" s="32" customFormat="1" x14ac:dyDescent="0.25">
      <c r="A72" s="33">
        <f>IF(ISBLANK(E72),"",_xlfn.XLOOKUP(E72,Info!A:A,Info!B:B))</f>
        <v>15</v>
      </c>
      <c r="B72" s="33" t="s">
        <v>266</v>
      </c>
      <c r="C72" s="33" t="s">
        <v>187</v>
      </c>
      <c r="D72" s="54" t="s">
        <v>593</v>
      </c>
      <c r="E72" s="91">
        <v>46154</v>
      </c>
      <c r="F72" s="54" t="s">
        <v>257</v>
      </c>
      <c r="G72" s="33">
        <f>IF(ISBLANK(H72),"",_xlfn.XLOOKUP(H72,Info!A:A,Info!B:B))</f>
        <v>14</v>
      </c>
      <c r="H72" s="98">
        <v>46147</v>
      </c>
      <c r="I72" s="103">
        <v>0.5</v>
      </c>
      <c r="J72" s="33">
        <v>30</v>
      </c>
      <c r="K72" s="33" t="s">
        <v>263</v>
      </c>
      <c r="L72" s="33" t="s">
        <v>142</v>
      </c>
      <c r="M72" s="67" t="s">
        <v>247</v>
      </c>
      <c r="N72" s="92" t="s">
        <v>614</v>
      </c>
      <c r="O72" s="93" t="s">
        <v>653</v>
      </c>
      <c r="P72" s="92" t="s">
        <v>587</v>
      </c>
      <c r="AI72" s="91"/>
    </row>
    <row r="73" spans="1:35" s="32" customFormat="1" x14ac:dyDescent="0.25">
      <c r="A73" s="33">
        <f>IF(ISBLANK(E73),"",_xlfn.XLOOKUP(E73,Info!A:A,Info!B:B))</f>
        <v>15</v>
      </c>
      <c r="B73" s="33" t="s">
        <v>266</v>
      </c>
      <c r="C73" s="33" t="s">
        <v>187</v>
      </c>
      <c r="D73" s="54" t="s">
        <v>239</v>
      </c>
      <c r="E73" s="91">
        <v>46156</v>
      </c>
      <c r="F73" s="54" t="s">
        <v>608</v>
      </c>
      <c r="G73" s="33">
        <f>IF(ISBLANK(H73),"",_xlfn.XLOOKUP(H73,Info!A:A,Info!B:B))</f>
        <v>15</v>
      </c>
      <c r="H73" s="98">
        <f>E73-1</f>
        <v>46155</v>
      </c>
      <c r="I73" s="103">
        <v>0.16666666666666666</v>
      </c>
      <c r="J73" s="33">
        <v>60</v>
      </c>
      <c r="K73" s="33" t="s">
        <v>613</v>
      </c>
      <c r="L73" s="33" t="s">
        <v>244</v>
      </c>
      <c r="M73" s="67" t="s">
        <v>237</v>
      </c>
      <c r="N73" s="92"/>
      <c r="O73" s="118" t="s">
        <v>609</v>
      </c>
      <c r="P73" s="92" t="s">
        <v>340</v>
      </c>
      <c r="AI73" s="91"/>
    </row>
    <row r="74" spans="1:35" s="32" customFormat="1" x14ac:dyDescent="0.25">
      <c r="A74" s="33">
        <f>IF(ISBLANK(E74),"",_xlfn.XLOOKUP(E74,Info!A:A,Info!B:B))</f>
        <v>16</v>
      </c>
      <c r="B74" s="33" t="s">
        <v>266</v>
      </c>
      <c r="C74" s="33" t="s">
        <v>187</v>
      </c>
      <c r="D74" s="54" t="s">
        <v>262</v>
      </c>
      <c r="E74" s="91">
        <v>46162</v>
      </c>
      <c r="F74" s="54" t="s">
        <v>257</v>
      </c>
      <c r="G74" s="33">
        <f>IF(ISBLANK(H74),"",_xlfn.XLOOKUP(H74,Info!A:A,Info!B:B))</f>
        <v>15</v>
      </c>
      <c r="H74" s="98">
        <v>46155</v>
      </c>
      <c r="I74" s="103">
        <v>0.625</v>
      </c>
      <c r="J74" s="33">
        <v>30</v>
      </c>
      <c r="K74" s="33" t="s">
        <v>263</v>
      </c>
      <c r="L74" s="33" t="s">
        <v>142</v>
      </c>
      <c r="M74" s="67" t="s">
        <v>247</v>
      </c>
      <c r="N74" s="92" t="s">
        <v>264</v>
      </c>
      <c r="O74" s="93" t="s">
        <v>653</v>
      </c>
      <c r="P74" s="92" t="s">
        <v>656</v>
      </c>
      <c r="AI74" s="91"/>
    </row>
    <row r="75" spans="1:35" s="32" customFormat="1" x14ac:dyDescent="0.25">
      <c r="A75" s="33">
        <f>IF(ISBLANK(E75),"",_xlfn.XLOOKUP(E75,Info!A:A,Info!B:B))</f>
        <v>16</v>
      </c>
      <c r="B75" s="33" t="s">
        <v>266</v>
      </c>
      <c r="C75" s="33" t="s">
        <v>104</v>
      </c>
      <c r="D75" s="54" t="s">
        <v>239</v>
      </c>
      <c r="E75" s="91">
        <v>46162</v>
      </c>
      <c r="F75" s="54" t="s">
        <v>608</v>
      </c>
      <c r="G75" s="33">
        <f>IF(ISBLANK(H75),"",_xlfn.XLOOKUP(H75,Info!A:A,Info!B:B))</f>
        <v>16</v>
      </c>
      <c r="H75" s="98">
        <f>E75-1</f>
        <v>46161</v>
      </c>
      <c r="I75" s="103">
        <v>0.16666666666666666</v>
      </c>
      <c r="J75" s="33">
        <v>60</v>
      </c>
      <c r="K75" s="33" t="s">
        <v>24</v>
      </c>
      <c r="L75" s="33" t="s">
        <v>24</v>
      </c>
      <c r="M75" s="67" t="s">
        <v>247</v>
      </c>
      <c r="N75" s="92"/>
      <c r="O75" s="118" t="s">
        <v>665</v>
      </c>
      <c r="P75" s="92"/>
      <c r="AI75" s="91"/>
    </row>
    <row r="76" spans="1:35" s="32" customFormat="1" x14ac:dyDescent="0.25">
      <c r="A76" s="33">
        <f>IF(ISBLANK(E76),"",_xlfn.XLOOKUP(E76,Info!A:A,Info!B:B))</f>
        <v>16</v>
      </c>
      <c r="B76" s="33" t="s">
        <v>266</v>
      </c>
      <c r="C76" s="33" t="s">
        <v>104</v>
      </c>
      <c r="D76" s="54" t="s">
        <v>239</v>
      </c>
      <c r="E76" s="91">
        <v>46162</v>
      </c>
      <c r="F76" s="54" t="s">
        <v>617</v>
      </c>
      <c r="G76" s="33">
        <f>IF(ISBLANK(H76),"",_xlfn.XLOOKUP(H76,Info!A:A,Info!B:B))</f>
        <v>16</v>
      </c>
      <c r="H76" s="98">
        <v>46162</v>
      </c>
      <c r="I76" s="103">
        <v>0.625</v>
      </c>
      <c r="J76" s="33">
        <v>10</v>
      </c>
      <c r="K76" s="33" t="s">
        <v>643</v>
      </c>
      <c r="L76" s="33" t="s">
        <v>142</v>
      </c>
      <c r="M76" s="67" t="s">
        <v>247</v>
      </c>
      <c r="N76" s="92" t="s">
        <v>673</v>
      </c>
      <c r="O76" s="118" t="s">
        <v>616</v>
      </c>
      <c r="P76" s="92" t="s">
        <v>615</v>
      </c>
      <c r="AI76" s="91"/>
    </row>
    <row r="77" spans="1:35" s="32" customFormat="1" x14ac:dyDescent="0.25">
      <c r="A77" s="33">
        <f>IF(ISBLANK(E77),"",_xlfn.XLOOKUP(E77,Info!A:A,Info!B:B))</f>
        <v>16</v>
      </c>
      <c r="B77" s="33" t="s">
        <v>266</v>
      </c>
      <c r="C77" s="33" t="s">
        <v>104</v>
      </c>
      <c r="D77" s="54" t="s">
        <v>239</v>
      </c>
      <c r="E77" s="91">
        <v>46162</v>
      </c>
      <c r="F77" s="54" t="s">
        <v>666</v>
      </c>
      <c r="G77" s="33">
        <f>IF(ISBLANK(H77),"",_xlfn.XLOOKUP(H77,Info!A:A,Info!B:B))</f>
        <v>16</v>
      </c>
      <c r="H77" s="98">
        <v>46162</v>
      </c>
      <c r="I77" s="103">
        <v>0.5</v>
      </c>
      <c r="J77" s="33">
        <v>10</v>
      </c>
      <c r="K77" s="33" t="s">
        <v>667</v>
      </c>
      <c r="L77" s="33" t="s">
        <v>667</v>
      </c>
      <c r="M77" s="67" t="s">
        <v>247</v>
      </c>
      <c r="N77" s="92" t="s">
        <v>668</v>
      </c>
      <c r="P77" s="92"/>
      <c r="AI77" s="91"/>
    </row>
    <row r="78" spans="1:35" s="32" customFormat="1" x14ac:dyDescent="0.25">
      <c r="A78" s="33" t="e">
        <f>IF(ISBLANK(E78),"",_xlfn.XLOOKUP(E78,Info!A:A,Info!B:B))</f>
        <v>#N/A</v>
      </c>
      <c r="B78" s="33" t="s">
        <v>266</v>
      </c>
      <c r="C78" s="33" t="s">
        <v>550</v>
      </c>
      <c r="D78" s="54" t="s">
        <v>239</v>
      </c>
      <c r="E78" s="91" t="s">
        <v>84</v>
      </c>
      <c r="F78" s="54" t="s">
        <v>579</v>
      </c>
      <c r="G78" s="33" t="str">
        <f>IF(ISBLANK(H78),"",_xlfn.XLOOKUP(H78,Info!A:A,Info!B:B))</f>
        <v/>
      </c>
      <c r="H78" s="98"/>
      <c r="I78" s="103"/>
      <c r="J78" s="33"/>
      <c r="K78" s="33" t="s">
        <v>598</v>
      </c>
      <c r="L78" s="33" t="s">
        <v>598</v>
      </c>
      <c r="M78" s="67" t="s">
        <v>247</v>
      </c>
      <c r="N78" s="92"/>
      <c r="P78" s="92" t="s">
        <v>340</v>
      </c>
      <c r="AI78" s="91"/>
    </row>
    <row r="79" spans="1:35" s="32" customFormat="1" x14ac:dyDescent="0.25">
      <c r="A79" s="33" t="e">
        <f>IF(ISBLANK(E79),"",_xlfn.XLOOKUP(E79,Info!A:A,Info!B:B))</f>
        <v>#N/A</v>
      </c>
      <c r="B79" s="33" t="s">
        <v>266</v>
      </c>
      <c r="C79" s="33" t="s">
        <v>550</v>
      </c>
      <c r="D79" s="54" t="s">
        <v>239</v>
      </c>
      <c r="E79" s="91" t="s">
        <v>84</v>
      </c>
      <c r="F79" s="54" t="s">
        <v>589</v>
      </c>
      <c r="G79" s="33" t="str">
        <f>IF(ISBLANK(H79),"",_xlfn.XLOOKUP(H79,Info!A:A,Info!B:B))</f>
        <v/>
      </c>
      <c r="H79" s="98"/>
      <c r="I79" s="103">
        <v>0.625</v>
      </c>
      <c r="J79" s="33">
        <v>30</v>
      </c>
      <c r="K79" s="33" t="s">
        <v>271</v>
      </c>
      <c r="L79" s="33" t="s">
        <v>271</v>
      </c>
      <c r="M79" s="67" t="s">
        <v>247</v>
      </c>
      <c r="N79" s="92" t="s">
        <v>345</v>
      </c>
      <c r="O79" s="93"/>
      <c r="P79" s="92" t="s">
        <v>340</v>
      </c>
      <c r="AI79" s="91"/>
    </row>
    <row r="80" spans="1:35" s="32" customFormat="1" x14ac:dyDescent="0.25">
      <c r="A80" s="33">
        <f>IF(ISBLANK(E80),"",_xlfn.XLOOKUP(E80,Info!A:A,Info!B:B))</f>
        <v>16</v>
      </c>
      <c r="B80" s="33" t="s">
        <v>266</v>
      </c>
      <c r="C80" s="33" t="s">
        <v>550</v>
      </c>
      <c r="D80" s="54" t="s">
        <v>239</v>
      </c>
      <c r="E80" s="91">
        <v>46162</v>
      </c>
      <c r="F80" s="54" t="s">
        <v>582</v>
      </c>
      <c r="G80" s="33" t="str">
        <f>IF(ISBLANK(H80),"",_xlfn.XLOOKUP(H80,Info!A:A,Info!B:B))</f>
        <v/>
      </c>
      <c r="H80" s="98"/>
      <c r="I80" s="103"/>
      <c r="J80" s="33"/>
      <c r="K80" s="33" t="s">
        <v>142</v>
      </c>
      <c r="L80" s="33" t="s">
        <v>142</v>
      </c>
      <c r="M80" s="67" t="s">
        <v>247</v>
      </c>
      <c r="N80" s="92"/>
      <c r="P80" s="92" t="s">
        <v>588</v>
      </c>
      <c r="AI80" s="91"/>
    </row>
    <row r="81" spans="1:35" s="32" customFormat="1" x14ac:dyDescent="0.25">
      <c r="A81" s="33" t="e">
        <f>IF(ISBLANK(E81),"",_xlfn.XLOOKUP(E81,Info!A:A,Info!B:B))</f>
        <v>#N/A</v>
      </c>
      <c r="B81" s="33" t="s">
        <v>266</v>
      </c>
      <c r="C81" s="33" t="s">
        <v>550</v>
      </c>
      <c r="D81" s="54" t="s">
        <v>239</v>
      </c>
      <c r="E81" s="91" t="s">
        <v>84</v>
      </c>
      <c r="F81" s="54" t="s">
        <v>586</v>
      </c>
      <c r="G81" s="33" t="str">
        <f>IF(ISBLANK(H81),"",_xlfn.XLOOKUP(H81,Info!A:A,Info!B:B))</f>
        <v/>
      </c>
      <c r="H81" s="98"/>
      <c r="I81" s="103"/>
      <c r="J81" s="33"/>
      <c r="K81" s="33" t="s">
        <v>234</v>
      </c>
      <c r="L81" s="33"/>
      <c r="M81" s="67" t="s">
        <v>247</v>
      </c>
      <c r="N81" s="92"/>
      <c r="P81" s="92" t="s">
        <v>340</v>
      </c>
      <c r="AI81" s="91"/>
    </row>
    <row r="82" spans="1:35" s="32" customFormat="1" x14ac:dyDescent="0.25">
      <c r="A82" s="33" t="e">
        <f>IF(ISBLANK(E82),"",_xlfn.XLOOKUP(E82,Info!A:A,Info!B:B))</f>
        <v>#N/A</v>
      </c>
      <c r="B82" s="33" t="s">
        <v>266</v>
      </c>
      <c r="C82" s="33" t="s">
        <v>550</v>
      </c>
      <c r="D82" s="54" t="s">
        <v>239</v>
      </c>
      <c r="E82" s="91" t="s">
        <v>84</v>
      </c>
      <c r="F82" s="54" t="s">
        <v>638</v>
      </c>
      <c r="G82" s="33" t="str">
        <f>IF(ISBLANK(H82),"",_xlfn.XLOOKUP(H82,Info!A:A,Info!B:B))</f>
        <v/>
      </c>
      <c r="H82" s="98"/>
      <c r="I82" s="103"/>
      <c r="J82" s="33"/>
      <c r="K82" s="33" t="s">
        <v>271</v>
      </c>
      <c r="L82" s="33"/>
      <c r="M82" s="67" t="s">
        <v>247</v>
      </c>
      <c r="N82" s="92"/>
      <c r="P82" s="92" t="s">
        <v>340</v>
      </c>
      <c r="AI82" s="91"/>
    </row>
    <row r="83" spans="1:35" s="32" customFormat="1" x14ac:dyDescent="0.25">
      <c r="A83" s="33" t="e">
        <f>IF(ISBLANK(E83),"",_xlfn.XLOOKUP(E83,Info!A:A,Info!B:B))</f>
        <v>#N/A</v>
      </c>
      <c r="B83" s="33" t="s">
        <v>266</v>
      </c>
      <c r="C83" s="33" t="s">
        <v>550</v>
      </c>
      <c r="D83" s="54" t="s">
        <v>239</v>
      </c>
      <c r="E83" s="91" t="s">
        <v>84</v>
      </c>
      <c r="F83" s="54" t="s">
        <v>639</v>
      </c>
      <c r="G83" s="33" t="str">
        <f>IF(ISBLANK(H83),"",_xlfn.XLOOKUP(H83,Info!A:A,Info!B:B))</f>
        <v/>
      </c>
      <c r="J83" s="33"/>
      <c r="K83" s="33" t="s">
        <v>513</v>
      </c>
      <c r="L83" s="33"/>
      <c r="M83" s="67" t="s">
        <v>247</v>
      </c>
      <c r="N83" s="92"/>
      <c r="P83" s="92" t="s">
        <v>340</v>
      </c>
      <c r="AI83" s="91"/>
    </row>
    <row r="84" spans="1:35" s="32" customFormat="1" x14ac:dyDescent="0.25">
      <c r="A84" s="33" t="e">
        <f>IF(ISBLANK(E84),"",_xlfn.XLOOKUP(E84,Info!A:A,Info!B:B))</f>
        <v>#N/A</v>
      </c>
      <c r="B84" s="33" t="s">
        <v>266</v>
      </c>
      <c r="C84" s="33" t="s">
        <v>550</v>
      </c>
      <c r="D84" s="54" t="s">
        <v>242</v>
      </c>
      <c r="E84" s="91" t="s">
        <v>84</v>
      </c>
      <c r="F84" s="54" t="s">
        <v>640</v>
      </c>
      <c r="G84" s="33">
        <f>IF(ISBLANK(H84),"",_xlfn.XLOOKUP(H84,Info!A:A,Info!B:B))</f>
        <v>13</v>
      </c>
      <c r="H84" s="98">
        <v>46143</v>
      </c>
      <c r="I84" s="103"/>
      <c r="J84" s="33">
        <v>15</v>
      </c>
      <c r="K84" s="33" t="s">
        <v>142</v>
      </c>
      <c r="L84" s="33" t="s">
        <v>142</v>
      </c>
      <c r="M84" s="67" t="s">
        <v>247</v>
      </c>
      <c r="N84" s="92"/>
      <c r="P84" s="92" t="s">
        <v>258</v>
      </c>
      <c r="AI84" s="91"/>
    </row>
    <row r="85" spans="1:35" s="32" customFormat="1" x14ac:dyDescent="0.25">
      <c r="A85" s="33">
        <f>IF(ISBLANK(E85),"",_xlfn.XLOOKUP(E85,Info!A:A,Info!B:B))</f>
        <v>16</v>
      </c>
      <c r="B85" s="33" t="s">
        <v>266</v>
      </c>
      <c r="C85" s="33" t="s">
        <v>187</v>
      </c>
      <c r="D85" s="54" t="s">
        <v>242</v>
      </c>
      <c r="E85" s="91">
        <v>46160</v>
      </c>
      <c r="F85" s="54" t="s">
        <v>619</v>
      </c>
      <c r="G85" s="33">
        <f>IF(ISBLANK(H85),"",_xlfn.XLOOKUP(H85,Info!A:A,Info!B:B))</f>
        <v>15</v>
      </c>
      <c r="H85" s="98">
        <v>46157</v>
      </c>
      <c r="I85" s="103">
        <v>0.5</v>
      </c>
      <c r="J85" s="33">
        <v>60</v>
      </c>
      <c r="K85" s="33" t="s">
        <v>263</v>
      </c>
      <c r="L85" s="33" t="s">
        <v>142</v>
      </c>
      <c r="M85" s="67" t="s">
        <v>620</v>
      </c>
      <c r="N85" s="92" t="s">
        <v>621</v>
      </c>
      <c r="P85" s="92" t="s">
        <v>263</v>
      </c>
      <c r="AI85" s="91"/>
    </row>
    <row r="86" spans="1:35" s="32" customFormat="1" x14ac:dyDescent="0.25">
      <c r="A86" s="33" t="e">
        <f>IF(ISBLANK(E86),"",_xlfn.XLOOKUP(E86,Info!A:A,Info!B:B))</f>
        <v>#N/A</v>
      </c>
      <c r="B86" s="33" t="s">
        <v>266</v>
      </c>
      <c r="C86" s="33" t="s">
        <v>550</v>
      </c>
      <c r="D86" s="54" t="s">
        <v>239</v>
      </c>
      <c r="E86" s="91" t="s">
        <v>84</v>
      </c>
      <c r="F86" s="54" t="s">
        <v>600</v>
      </c>
      <c r="G86" s="33" t="str">
        <f>IF(ISBLANK(H86),"",_xlfn.XLOOKUP(H86,Info!A:A,Info!B:B))</f>
        <v/>
      </c>
      <c r="H86" s="98"/>
      <c r="I86" s="103"/>
      <c r="J86" s="33">
        <v>30</v>
      </c>
      <c r="K86" s="33" t="s">
        <v>644</v>
      </c>
      <c r="L86" s="33" t="s">
        <v>597</v>
      </c>
      <c r="M86" s="67" t="s">
        <v>247</v>
      </c>
      <c r="N86" s="92"/>
      <c r="P86" s="92" t="s">
        <v>601</v>
      </c>
      <c r="AI86" s="91"/>
    </row>
    <row r="87" spans="1:35" s="32" customFormat="1" x14ac:dyDescent="0.25">
      <c r="A87" s="33" t="str">
        <f>IF(ISBLANK(E87),"",_xlfn.XLOOKUP(E87,Info!A:A,Info!B:B))</f>
        <v/>
      </c>
      <c r="B87" s="33"/>
      <c r="C87" s="33"/>
      <c r="D87" s="54"/>
      <c r="E87" s="91"/>
      <c r="F87" s="54"/>
      <c r="G87" s="33" t="str">
        <f>IF(ISBLANK(H87),"",_xlfn.XLOOKUP(H87,Info!A:A,Info!B:B))</f>
        <v/>
      </c>
      <c r="H87" s="98"/>
      <c r="I87" s="103"/>
      <c r="J87" s="33"/>
      <c r="K87" s="33"/>
      <c r="L87" s="33"/>
      <c r="M87" s="67"/>
      <c r="N87" s="92"/>
      <c r="P87" s="92"/>
      <c r="AI87" s="91"/>
    </row>
    <row r="88" spans="1:35" s="32" customFormat="1" x14ac:dyDescent="0.25">
      <c r="A88" s="33" t="str">
        <f>IF(ISBLANK(E88),"",_xlfn.XLOOKUP(E88,Info!A:A,Info!B:B))</f>
        <v/>
      </c>
      <c r="B88" s="33"/>
      <c r="C88" s="33"/>
      <c r="D88" s="54"/>
      <c r="E88" s="91"/>
      <c r="F88" s="54"/>
      <c r="G88" s="33" t="str">
        <f>IF(ISBLANK(H88),"",_xlfn.XLOOKUP(H88,Info!A:A,Info!B:B))</f>
        <v/>
      </c>
      <c r="H88" s="98"/>
      <c r="I88" s="103"/>
      <c r="J88" s="33"/>
      <c r="K88" s="33"/>
      <c r="L88" s="33"/>
      <c r="M88" s="67"/>
      <c r="N88" s="92"/>
      <c r="P88" s="92"/>
      <c r="AI88" s="91"/>
    </row>
    <row r="89" spans="1:35" s="32" customFormat="1" x14ac:dyDescent="0.25">
      <c r="A89" s="33" t="str">
        <f>IF(ISBLANK(E89),"",_xlfn.XLOOKUP(E89,Info!A:A,Info!B:B))</f>
        <v/>
      </c>
      <c r="B89" s="33"/>
      <c r="C89" s="33"/>
      <c r="D89" s="54"/>
      <c r="E89" s="91"/>
      <c r="F89" s="54"/>
      <c r="G89" s="33" t="str">
        <f>IF(ISBLANK(H89),"",_xlfn.XLOOKUP(H89,Info!A:A,Info!B:B))</f>
        <v/>
      </c>
      <c r="H89" s="98"/>
      <c r="I89" s="103"/>
      <c r="J89" s="33"/>
      <c r="K89" s="33"/>
      <c r="L89" s="33"/>
      <c r="M89" s="67"/>
      <c r="N89" s="92"/>
      <c r="P89" s="92"/>
      <c r="AI89" s="91"/>
    </row>
    <row r="90" spans="1:35" s="32" customFormat="1" x14ac:dyDescent="0.25">
      <c r="A90" s="33" t="str">
        <f>IF(ISBLANK(E90),"",_xlfn.XLOOKUP(E90,Info!A:A,Info!B:B))</f>
        <v/>
      </c>
      <c r="B90" s="33"/>
      <c r="C90" s="33"/>
      <c r="D90" s="54"/>
      <c r="E90" s="91"/>
      <c r="F90" s="54"/>
      <c r="G90" s="33" t="str">
        <f>IF(ISBLANK(H90),"",_xlfn.XLOOKUP(H90,Info!A:A,Info!B:B))</f>
        <v/>
      </c>
      <c r="H90" s="98"/>
      <c r="I90" s="103"/>
      <c r="J90" s="33"/>
      <c r="K90" s="33"/>
      <c r="L90" s="33"/>
      <c r="M90" s="67"/>
      <c r="N90" s="92"/>
      <c r="P90" s="92"/>
      <c r="AI90" s="91"/>
    </row>
    <row r="91" spans="1:35" s="32" customFormat="1" x14ac:dyDescent="0.25">
      <c r="A91" s="33" t="str">
        <f>IF(ISBLANK(E91),"",_xlfn.XLOOKUP(E91,Info!A:A,Info!B:B))</f>
        <v/>
      </c>
      <c r="B91" s="33"/>
      <c r="C91" s="33"/>
      <c r="D91" s="54"/>
      <c r="E91" s="91"/>
      <c r="F91" s="54"/>
      <c r="G91" s="33" t="str">
        <f>IF(ISBLANK(H91),"",_xlfn.XLOOKUP(H91,Info!A:A,Info!B:B))</f>
        <v/>
      </c>
      <c r="H91" s="98"/>
      <c r="I91" s="103"/>
      <c r="J91" s="33"/>
      <c r="K91" s="33"/>
      <c r="L91" s="33"/>
      <c r="M91" s="67"/>
      <c r="N91" s="92"/>
      <c r="P91" s="92"/>
      <c r="AI91" s="91"/>
    </row>
    <row r="92" spans="1:35" s="32" customFormat="1" x14ac:dyDescent="0.25">
      <c r="A92" s="33" t="str">
        <f>IF(ISBLANK(E92),"",_xlfn.XLOOKUP(E92,Info!A:A,Info!B:B))</f>
        <v/>
      </c>
      <c r="B92" s="33"/>
      <c r="C92" s="33"/>
      <c r="D92" s="54"/>
      <c r="E92" s="91"/>
      <c r="F92" s="54"/>
      <c r="G92" s="33" t="str">
        <f>IF(ISBLANK(H92),"",_xlfn.XLOOKUP(H92,Info!A:A,Info!B:B))</f>
        <v/>
      </c>
      <c r="H92" s="98"/>
      <c r="I92" s="103"/>
      <c r="J92" s="33"/>
      <c r="K92" s="33"/>
      <c r="L92" s="33"/>
      <c r="M92" s="67"/>
      <c r="N92" s="92"/>
      <c r="P92" s="92"/>
      <c r="AI92" s="91"/>
    </row>
    <row r="93" spans="1:35" s="32" customFormat="1" x14ac:dyDescent="0.25">
      <c r="A93" s="33" t="str">
        <f>IF(ISBLANK(E93),"",_xlfn.XLOOKUP(E93,Info!A:A,Info!B:B))</f>
        <v/>
      </c>
      <c r="B93" s="33"/>
      <c r="C93" s="33"/>
      <c r="D93" s="54"/>
      <c r="E93" s="91"/>
      <c r="F93" s="54"/>
      <c r="G93" s="33" t="str">
        <f>IF(ISBLANK(H93),"",_xlfn.XLOOKUP(H93,Info!A:A,Info!B:B))</f>
        <v/>
      </c>
      <c r="H93" s="98"/>
      <c r="I93" s="103"/>
      <c r="J93" s="33"/>
      <c r="K93" s="33"/>
      <c r="L93" s="33"/>
      <c r="M93" s="67"/>
      <c r="N93" s="92"/>
      <c r="P93" s="92"/>
      <c r="AI93" s="91"/>
    </row>
    <row r="94" spans="1:35" s="32" customFormat="1" x14ac:dyDescent="0.25">
      <c r="A94" s="33" t="str">
        <f>IF(ISBLANK(E94),"",_xlfn.XLOOKUP(E94,Info!A:A,Info!B:B))</f>
        <v/>
      </c>
      <c r="B94" s="33"/>
      <c r="C94" s="33"/>
      <c r="D94" s="54"/>
      <c r="E94" s="91"/>
      <c r="F94" s="54"/>
      <c r="G94" s="33" t="str">
        <f>IF(ISBLANK(H94),"",_xlfn.XLOOKUP(H94,Info!A:A,Info!B:B))</f>
        <v/>
      </c>
      <c r="H94" s="98"/>
      <c r="I94" s="103"/>
      <c r="J94" s="33"/>
      <c r="K94" s="33"/>
      <c r="L94" s="33"/>
      <c r="M94" s="67"/>
      <c r="N94" s="92"/>
      <c r="P94" s="92"/>
      <c r="AI94" s="91"/>
    </row>
    <row r="95" spans="1:35" s="32" customFormat="1" x14ac:dyDescent="0.25">
      <c r="A95" s="33" t="str">
        <f>IF(ISBLANK(E95),"",_xlfn.XLOOKUP(E95,Info!A:A,Info!B:B))</f>
        <v/>
      </c>
      <c r="B95" s="33"/>
      <c r="C95" s="33"/>
      <c r="D95" s="54"/>
      <c r="E95" s="91"/>
      <c r="F95" s="54"/>
      <c r="G95" s="33" t="str">
        <f>IF(ISBLANK(H95),"",_xlfn.XLOOKUP(H95,Info!A:A,Info!B:B))</f>
        <v/>
      </c>
      <c r="H95" s="98"/>
      <c r="I95" s="103"/>
      <c r="J95" s="33"/>
      <c r="K95" s="33"/>
      <c r="L95" s="33"/>
      <c r="M95" s="67"/>
      <c r="N95" s="92"/>
      <c r="P95" s="92"/>
      <c r="AI95" s="91"/>
    </row>
    <row r="96" spans="1:35" s="32" customFormat="1" x14ac:dyDescent="0.25">
      <c r="A96" s="33" t="str">
        <f>IF(ISBLANK(E96),"",_xlfn.XLOOKUP(E96,Info!A:A,Info!B:B))</f>
        <v/>
      </c>
      <c r="B96" s="33"/>
      <c r="C96" s="33"/>
      <c r="D96" s="54"/>
      <c r="E96" s="91"/>
      <c r="F96" s="54"/>
      <c r="G96" s="33" t="str">
        <f>IF(ISBLANK(H96),"",_xlfn.XLOOKUP(H96,Info!A:A,Info!B:B))</f>
        <v/>
      </c>
      <c r="H96" s="98"/>
      <c r="I96" s="103"/>
      <c r="J96" s="33"/>
      <c r="K96" s="33"/>
      <c r="L96" s="33"/>
      <c r="M96" s="67"/>
      <c r="N96" s="92"/>
      <c r="P96" s="92"/>
      <c r="AI96" s="91"/>
    </row>
    <row r="97" spans="1:35" s="32" customFormat="1" x14ac:dyDescent="0.25">
      <c r="A97" s="33" t="str">
        <f>IF(ISBLANK(E97),"",_xlfn.XLOOKUP(E97,Info!A:A,Info!B:B))</f>
        <v/>
      </c>
      <c r="B97" s="33"/>
      <c r="C97" s="33"/>
      <c r="D97" s="54"/>
      <c r="E97" s="91"/>
      <c r="F97" s="54"/>
      <c r="G97" s="33" t="str">
        <f>IF(ISBLANK(H97),"",_xlfn.XLOOKUP(H97,Info!A:A,Info!B:B))</f>
        <v/>
      </c>
      <c r="H97" s="98"/>
      <c r="I97" s="103"/>
      <c r="J97" s="33"/>
      <c r="K97" s="33"/>
      <c r="L97" s="33"/>
      <c r="M97" s="67"/>
      <c r="N97" s="92"/>
      <c r="P97" s="92"/>
      <c r="AI97" s="91"/>
    </row>
    <row r="98" spans="1:35" s="32" customFormat="1" x14ac:dyDescent="0.25">
      <c r="A98" s="33" t="str">
        <f>IF(ISBLANK(E98),"",_xlfn.XLOOKUP(E98,Info!A:A,Info!B:B))</f>
        <v/>
      </c>
      <c r="B98" s="33"/>
      <c r="C98" s="33"/>
      <c r="D98" s="54"/>
      <c r="E98" s="91"/>
      <c r="F98" s="54"/>
      <c r="G98" s="33" t="str">
        <f>IF(ISBLANK(H98),"",_xlfn.XLOOKUP(H98,Info!A:A,Info!B:B))</f>
        <v/>
      </c>
      <c r="H98" s="98"/>
      <c r="I98" s="103"/>
      <c r="J98" s="33"/>
      <c r="K98" s="33"/>
      <c r="L98" s="33"/>
      <c r="M98" s="67"/>
      <c r="N98" s="92"/>
      <c r="P98" s="92"/>
      <c r="AI98" s="91"/>
    </row>
    <row r="99" spans="1:35" s="32" customFormat="1" x14ac:dyDescent="0.25">
      <c r="A99" s="33" t="str">
        <f>IF(ISBLANK(E99),"",_xlfn.XLOOKUP(E99,Info!A:A,Info!B:B))</f>
        <v/>
      </c>
      <c r="B99" s="33"/>
      <c r="C99" s="33"/>
      <c r="D99" s="54"/>
      <c r="E99" s="91"/>
      <c r="F99" s="54"/>
      <c r="G99" s="33" t="str">
        <f>IF(ISBLANK(H99),"",_xlfn.XLOOKUP(H99,Info!A:A,Info!B:B))</f>
        <v/>
      </c>
      <c r="H99" s="98"/>
      <c r="I99" s="103"/>
      <c r="J99" s="33"/>
      <c r="K99" s="33"/>
      <c r="L99" s="33"/>
      <c r="M99" s="67"/>
      <c r="N99" s="92"/>
      <c r="P99" s="92"/>
      <c r="AI99" s="91"/>
    </row>
    <row r="100" spans="1:35" s="32" customFormat="1" x14ac:dyDescent="0.25">
      <c r="A100" s="33" t="str">
        <f>IF(ISBLANK(E100),"",_xlfn.XLOOKUP(E100,Info!A:A,Info!B:B))</f>
        <v/>
      </c>
      <c r="B100" s="33"/>
      <c r="C100" s="33"/>
      <c r="D100" s="54"/>
      <c r="E100" s="91"/>
      <c r="F100" s="54"/>
      <c r="G100" s="33" t="str">
        <f>IF(ISBLANK(H100),"",_xlfn.XLOOKUP(H100,Info!A:A,Info!B:B))</f>
        <v/>
      </c>
      <c r="H100" s="98"/>
      <c r="I100" s="103"/>
      <c r="J100" s="33"/>
      <c r="K100" s="33"/>
      <c r="L100" s="33"/>
      <c r="M100" s="67"/>
      <c r="N100" s="92"/>
      <c r="P100" s="92"/>
      <c r="AI100" s="91"/>
    </row>
    <row r="101" spans="1:35" s="32" customFormat="1" x14ac:dyDescent="0.25">
      <c r="A101" s="33" t="str">
        <f>IF(ISBLANK(E101),"",_xlfn.XLOOKUP(E101,Info!A:A,Info!B:B))</f>
        <v/>
      </c>
      <c r="B101" s="33"/>
      <c r="C101" s="33"/>
      <c r="D101" s="54"/>
      <c r="E101" s="91"/>
      <c r="F101" s="54"/>
      <c r="G101" s="33" t="str">
        <f>IF(ISBLANK(H101),"",_xlfn.XLOOKUP(H101,Info!A:A,Info!B:B))</f>
        <v/>
      </c>
      <c r="H101" s="98"/>
      <c r="I101" s="103"/>
      <c r="J101" s="33"/>
      <c r="K101" s="33"/>
      <c r="L101" s="33"/>
      <c r="M101" s="67"/>
      <c r="N101" s="92"/>
      <c r="P101" s="92"/>
      <c r="AI101" s="91"/>
    </row>
    <row r="102" spans="1:35" s="32" customFormat="1" x14ac:dyDescent="0.25">
      <c r="A102" s="33" t="str">
        <f>IF(ISBLANK(E102),"",_xlfn.XLOOKUP(E102,Info!A:A,Info!B:B))</f>
        <v/>
      </c>
      <c r="B102" s="33"/>
      <c r="C102" s="33"/>
      <c r="D102" s="54"/>
      <c r="E102" s="91"/>
      <c r="F102" s="54"/>
      <c r="G102" s="33" t="str">
        <f>IF(ISBLANK(H102),"",_xlfn.XLOOKUP(H102,Info!A:A,Info!B:B))</f>
        <v/>
      </c>
      <c r="H102" s="98"/>
      <c r="I102" s="103"/>
      <c r="J102" s="33"/>
      <c r="K102" s="33"/>
      <c r="L102" s="33"/>
      <c r="M102" s="67"/>
      <c r="N102" s="92"/>
      <c r="P102" s="92"/>
      <c r="AI102" s="91"/>
    </row>
    <row r="103" spans="1:35" s="32" customFormat="1" x14ac:dyDescent="0.25">
      <c r="A103" s="33" t="str">
        <f>IF(ISBLANK(E103),"",_xlfn.XLOOKUP(E103,Info!A:A,Info!B:B))</f>
        <v/>
      </c>
      <c r="B103" s="33"/>
      <c r="C103" s="33"/>
      <c r="D103" s="54"/>
      <c r="E103" s="91"/>
      <c r="F103" s="54"/>
      <c r="G103" s="33" t="str">
        <f>IF(ISBLANK(H103),"",_xlfn.XLOOKUP(H103,Info!A:A,Info!B:B))</f>
        <v/>
      </c>
      <c r="H103" s="98"/>
      <c r="I103" s="103"/>
      <c r="J103" s="33"/>
      <c r="K103" s="33"/>
      <c r="L103" s="33"/>
      <c r="M103" s="67"/>
      <c r="N103" s="92"/>
      <c r="P103" s="92"/>
      <c r="AI103" s="91"/>
    </row>
    <row r="104" spans="1:35" s="32" customFormat="1" x14ac:dyDescent="0.25">
      <c r="A104" s="33" t="str">
        <f>IF(ISBLANK(E104),"",_xlfn.XLOOKUP(E104,Info!A:A,Info!B:B))</f>
        <v/>
      </c>
      <c r="B104" s="33"/>
      <c r="C104" s="33"/>
      <c r="D104" s="54"/>
      <c r="E104" s="91"/>
      <c r="F104" s="54"/>
      <c r="G104" s="33" t="str">
        <f>IF(ISBLANK(H104),"",_xlfn.XLOOKUP(H104,Info!A:A,Info!B:B))</f>
        <v/>
      </c>
      <c r="H104" s="98"/>
      <c r="I104" s="103"/>
      <c r="J104" s="33"/>
      <c r="K104" s="33"/>
      <c r="L104" s="33"/>
      <c r="M104" s="67"/>
      <c r="N104" s="92"/>
      <c r="P104" s="92"/>
      <c r="AI104" s="91"/>
    </row>
    <row r="105" spans="1:35" s="32" customFormat="1" x14ac:dyDescent="0.25">
      <c r="A105" s="33" t="str">
        <f>IF(ISBLANK(E105),"",_xlfn.XLOOKUP(E105,Info!A:A,Info!B:B))</f>
        <v/>
      </c>
      <c r="B105" s="33"/>
      <c r="C105" s="33"/>
      <c r="D105" s="54"/>
      <c r="E105" s="91"/>
      <c r="F105" s="54"/>
      <c r="G105" s="33" t="str">
        <f>IF(ISBLANK(H105),"",_xlfn.XLOOKUP(H105,Info!A:A,Info!B:B))</f>
        <v/>
      </c>
      <c r="H105" s="98"/>
      <c r="I105" s="103"/>
      <c r="J105" s="33"/>
      <c r="K105" s="33"/>
      <c r="L105" s="33"/>
      <c r="M105" s="67"/>
      <c r="N105" s="92"/>
      <c r="P105" s="92"/>
      <c r="AI105" s="91"/>
    </row>
    <row r="106" spans="1:35" s="32" customFormat="1" x14ac:dyDescent="0.25">
      <c r="A106" s="33" t="str">
        <f>IF(ISBLANK(E106),"",_xlfn.XLOOKUP(E106,Info!A:A,Info!B:B))</f>
        <v/>
      </c>
      <c r="B106" s="33"/>
      <c r="C106" s="33"/>
      <c r="D106" s="54"/>
      <c r="E106" s="91"/>
      <c r="F106" s="54"/>
      <c r="G106" s="33" t="str">
        <f>IF(ISBLANK(H106),"",_xlfn.XLOOKUP(H106,Info!A:A,Info!B:B))</f>
        <v/>
      </c>
      <c r="H106" s="98"/>
      <c r="I106" s="103"/>
      <c r="J106" s="33"/>
      <c r="K106" s="33"/>
      <c r="L106" s="33"/>
      <c r="M106" s="67"/>
      <c r="N106" s="92"/>
      <c r="P106" s="92"/>
      <c r="AI106" s="91"/>
    </row>
    <row r="107" spans="1:35" s="32" customFormat="1" x14ac:dyDescent="0.25">
      <c r="A107" s="33" t="str">
        <f>IF(ISBLANK(E107),"",_xlfn.XLOOKUP(E107,Info!A:A,Info!B:B))</f>
        <v/>
      </c>
      <c r="B107" s="33"/>
      <c r="C107" s="33"/>
      <c r="D107" s="54"/>
      <c r="E107" s="91"/>
      <c r="F107" s="54"/>
      <c r="G107" s="33" t="str">
        <f>IF(ISBLANK(H107),"",_xlfn.XLOOKUP(H107,Info!A:A,Info!B:B))</f>
        <v/>
      </c>
      <c r="H107" s="98"/>
      <c r="I107" s="103"/>
      <c r="J107" s="33"/>
      <c r="K107" s="33"/>
      <c r="L107" s="33"/>
      <c r="M107" s="67"/>
      <c r="N107" s="92"/>
      <c r="P107" s="92"/>
      <c r="AI107" s="91"/>
    </row>
    <row r="108" spans="1:35" s="32" customFormat="1" x14ac:dyDescent="0.25">
      <c r="A108" s="33" t="str">
        <f>IF(ISBLANK(E108),"",_xlfn.XLOOKUP(E108,Info!A:A,Info!B:B))</f>
        <v/>
      </c>
      <c r="B108" s="33"/>
      <c r="C108" s="33"/>
      <c r="D108" s="54"/>
      <c r="E108" s="91"/>
      <c r="F108" s="54"/>
      <c r="G108" s="33" t="str">
        <f>IF(ISBLANK(H108),"",_xlfn.XLOOKUP(H108,Info!A:A,Info!B:B))</f>
        <v/>
      </c>
      <c r="H108" s="98"/>
      <c r="I108" s="103"/>
      <c r="J108" s="33"/>
      <c r="K108" s="33"/>
      <c r="L108" s="33"/>
      <c r="M108" s="67"/>
      <c r="N108" s="92"/>
      <c r="P108" s="92"/>
      <c r="AI108" s="91"/>
    </row>
    <row r="109" spans="1:35" s="32" customFormat="1" x14ac:dyDescent="0.25">
      <c r="A109" s="33" t="str">
        <f>IF(ISBLANK(E109),"",_xlfn.XLOOKUP(E109,Info!A:A,Info!B:B))</f>
        <v/>
      </c>
      <c r="B109" s="33"/>
      <c r="C109" s="33"/>
      <c r="D109" s="54"/>
      <c r="E109" s="91"/>
      <c r="F109" s="54"/>
      <c r="G109" s="33" t="str">
        <f>IF(ISBLANK(H109),"",_xlfn.XLOOKUP(H109,Info!A:A,Info!B:B))</f>
        <v/>
      </c>
      <c r="H109" s="98"/>
      <c r="I109" s="103"/>
      <c r="J109" s="33"/>
      <c r="K109" s="33"/>
      <c r="L109" s="33"/>
      <c r="M109" s="67"/>
      <c r="N109" s="92"/>
      <c r="P109" s="92"/>
      <c r="AI109" s="91"/>
    </row>
    <row r="110" spans="1:35" s="32" customFormat="1" x14ac:dyDescent="0.25">
      <c r="A110" s="33" t="str">
        <f>IF(ISBLANK(E110),"",_xlfn.XLOOKUP(E110,Info!A:A,Info!B:B))</f>
        <v/>
      </c>
      <c r="B110" s="33"/>
      <c r="C110" s="33"/>
      <c r="D110" s="54"/>
      <c r="E110" s="91"/>
      <c r="F110" s="54"/>
      <c r="G110" s="33" t="str">
        <f>IF(ISBLANK(H110),"",_xlfn.XLOOKUP(H110,Info!A:A,Info!B:B))</f>
        <v/>
      </c>
      <c r="H110" s="98"/>
      <c r="I110" s="103"/>
      <c r="J110" s="33"/>
      <c r="K110" s="33"/>
      <c r="L110" s="33"/>
      <c r="M110" s="67"/>
      <c r="N110" s="92"/>
      <c r="P110" s="92"/>
      <c r="AI110" s="91"/>
    </row>
    <row r="111" spans="1:35" s="32" customFormat="1" x14ac:dyDescent="0.25">
      <c r="A111" s="33" t="str">
        <f>IF(ISBLANK(E111),"",_xlfn.XLOOKUP(E111,Info!A:A,Info!B:B))</f>
        <v/>
      </c>
      <c r="B111" s="33"/>
      <c r="C111" s="33"/>
      <c r="D111" s="54"/>
      <c r="E111" s="91"/>
      <c r="F111" s="54"/>
      <c r="G111" s="33" t="str">
        <f>IF(ISBLANK(H111),"",_xlfn.XLOOKUP(H111,Info!A:A,Info!B:B))</f>
        <v/>
      </c>
      <c r="H111" s="98"/>
      <c r="I111" s="103"/>
      <c r="J111" s="33"/>
      <c r="K111" s="33"/>
      <c r="L111" s="33"/>
      <c r="M111" s="67"/>
      <c r="N111" s="92"/>
      <c r="P111" s="92"/>
      <c r="AI111" s="91"/>
    </row>
    <row r="112" spans="1:35" s="32" customFormat="1" x14ac:dyDescent="0.25">
      <c r="A112" s="33" t="str">
        <f>IF(ISBLANK(E112),"",_xlfn.XLOOKUP(E112,Info!A:A,Info!B:B))</f>
        <v/>
      </c>
      <c r="B112" s="33"/>
      <c r="C112" s="33"/>
      <c r="D112" s="54"/>
      <c r="E112" s="91"/>
      <c r="F112" s="54"/>
      <c r="G112" s="33" t="str">
        <f>IF(ISBLANK(H112),"",_xlfn.XLOOKUP(H112,Info!A:A,Info!B:B))</f>
        <v/>
      </c>
      <c r="H112" s="98"/>
      <c r="I112" s="103"/>
      <c r="J112" s="33"/>
      <c r="K112" s="33"/>
      <c r="L112" s="33"/>
      <c r="M112" s="67"/>
      <c r="N112" s="92"/>
      <c r="P112" s="92"/>
      <c r="AI112" s="91"/>
    </row>
    <row r="113" spans="1:35" s="32" customFormat="1" x14ac:dyDescent="0.25">
      <c r="A113" s="33" t="str">
        <f>IF(ISBLANK(E113),"",_xlfn.XLOOKUP(E113,Info!A:A,Info!B:B))</f>
        <v/>
      </c>
      <c r="B113" s="33"/>
      <c r="C113" s="33"/>
      <c r="D113" s="54"/>
      <c r="E113" s="91"/>
      <c r="F113" s="54"/>
      <c r="G113" s="33" t="str">
        <f>IF(ISBLANK(H113),"",_xlfn.XLOOKUP(H113,Info!A:A,Info!B:B))</f>
        <v/>
      </c>
      <c r="H113" s="98"/>
      <c r="I113" s="103"/>
      <c r="J113" s="33"/>
      <c r="K113" s="33"/>
      <c r="L113" s="33"/>
      <c r="M113" s="67"/>
      <c r="N113" s="92"/>
      <c r="P113" s="92"/>
      <c r="AI113" s="91"/>
    </row>
    <row r="114" spans="1:35" s="32" customFormat="1" x14ac:dyDescent="0.25">
      <c r="A114" s="33" t="str">
        <f>IF(ISBLANK(E114),"",_xlfn.XLOOKUP(E114,Info!A:A,Info!B:B))</f>
        <v/>
      </c>
      <c r="B114" s="33"/>
      <c r="C114" s="33"/>
      <c r="D114" s="54"/>
      <c r="E114" s="91"/>
      <c r="F114" s="54"/>
      <c r="G114" s="33" t="str">
        <f>IF(ISBLANK(H114),"",_xlfn.XLOOKUP(H114,Info!A:A,Info!B:B))</f>
        <v/>
      </c>
      <c r="H114" s="98"/>
      <c r="I114" s="103"/>
      <c r="J114" s="33"/>
      <c r="K114" s="33"/>
      <c r="L114" s="33"/>
      <c r="M114" s="67"/>
      <c r="N114" s="92"/>
      <c r="P114" s="92"/>
      <c r="AI114" s="91"/>
    </row>
    <row r="115" spans="1:35" s="32" customFormat="1" x14ac:dyDescent="0.25">
      <c r="A115" s="33" t="str">
        <f>IF(ISBLANK(E115),"",_xlfn.XLOOKUP(E115,Info!A:A,Info!B:B))</f>
        <v/>
      </c>
      <c r="B115" s="33"/>
      <c r="C115" s="33"/>
      <c r="D115" s="54"/>
      <c r="E115" s="91"/>
      <c r="F115" s="54"/>
      <c r="G115" s="33" t="str">
        <f>IF(ISBLANK(H115),"",_xlfn.XLOOKUP(H115,Info!A:A,Info!B:B))</f>
        <v/>
      </c>
      <c r="H115" s="98"/>
      <c r="I115" s="103"/>
      <c r="J115" s="33"/>
      <c r="K115" s="33"/>
      <c r="L115" s="33"/>
      <c r="M115" s="67"/>
      <c r="N115" s="92"/>
      <c r="P115" s="92"/>
      <c r="AI115" s="91"/>
    </row>
    <row r="116" spans="1:35" s="32" customFormat="1" x14ac:dyDescent="0.25">
      <c r="A116" s="33" t="str">
        <f>IF(ISBLANK(E116),"",_xlfn.XLOOKUP(E116,Info!A:A,Info!B:B))</f>
        <v/>
      </c>
      <c r="B116" s="33"/>
      <c r="C116" s="33"/>
      <c r="D116" s="54"/>
      <c r="E116" s="91"/>
      <c r="F116" s="54"/>
      <c r="G116" s="33" t="str">
        <f>IF(ISBLANK(H116),"",_xlfn.XLOOKUP(H116,Info!A:A,Info!B:B))</f>
        <v/>
      </c>
      <c r="H116" s="98"/>
      <c r="I116" s="103"/>
      <c r="J116" s="33"/>
      <c r="K116" s="33"/>
      <c r="L116" s="33"/>
      <c r="M116" s="67"/>
      <c r="N116" s="92"/>
      <c r="P116" s="92"/>
      <c r="AI116" s="91"/>
    </row>
    <row r="117" spans="1:35" s="32" customFormat="1" x14ac:dyDescent="0.25">
      <c r="A117" s="33" t="str">
        <f>IF(ISBLANK(E117),"",_xlfn.XLOOKUP(E117,Info!A:A,Info!B:B))</f>
        <v/>
      </c>
      <c r="B117" s="33"/>
      <c r="C117" s="33"/>
      <c r="D117" s="54"/>
      <c r="E117" s="91"/>
      <c r="F117" s="54"/>
      <c r="G117" s="33" t="str">
        <f>IF(ISBLANK(H117),"",_xlfn.XLOOKUP(H117,Info!A:A,Info!B:B))</f>
        <v/>
      </c>
      <c r="H117" s="98"/>
      <c r="I117" s="103"/>
      <c r="J117" s="33"/>
      <c r="K117" s="33"/>
      <c r="L117" s="33"/>
      <c r="M117" s="67"/>
      <c r="N117" s="92"/>
      <c r="P117" s="92"/>
      <c r="AI117" s="91"/>
    </row>
    <row r="118" spans="1:35" s="32" customFormat="1" x14ac:dyDescent="0.25">
      <c r="A118" s="33" t="str">
        <f>IF(ISBLANK(E118),"",_xlfn.XLOOKUP(E118,Info!A:A,Info!B:B))</f>
        <v/>
      </c>
      <c r="B118" s="33"/>
      <c r="C118" s="33"/>
      <c r="D118" s="54"/>
      <c r="E118" s="91"/>
      <c r="F118" s="54"/>
      <c r="G118" s="33" t="str">
        <f>IF(ISBLANK(H118),"",_xlfn.XLOOKUP(H118,Info!A:A,Info!B:B))</f>
        <v/>
      </c>
      <c r="H118" s="98"/>
      <c r="I118" s="103"/>
      <c r="J118" s="33"/>
      <c r="K118" s="33"/>
      <c r="L118" s="33"/>
      <c r="M118" s="67"/>
      <c r="N118" s="92"/>
      <c r="P118" s="92"/>
      <c r="AI118" s="91"/>
    </row>
    <row r="119" spans="1:35" s="32" customFormat="1" x14ac:dyDescent="0.25">
      <c r="A119" s="33" t="str">
        <f>IF(ISBLANK(E119),"",_xlfn.XLOOKUP(E119,Info!A:A,Info!B:B))</f>
        <v/>
      </c>
      <c r="B119" s="33"/>
      <c r="C119" s="33"/>
      <c r="D119" s="54"/>
      <c r="E119" s="91"/>
      <c r="F119" s="54"/>
      <c r="G119" s="33" t="str">
        <f>IF(ISBLANK(H119),"",_xlfn.XLOOKUP(H119,Info!A:A,Info!B:B))</f>
        <v/>
      </c>
      <c r="H119" s="98"/>
      <c r="I119" s="103"/>
      <c r="J119" s="33"/>
      <c r="K119" s="33"/>
      <c r="L119" s="33"/>
      <c r="M119" s="67"/>
      <c r="N119" s="92"/>
      <c r="P119" s="92"/>
      <c r="AI119" s="91"/>
    </row>
    <row r="120" spans="1:35" s="32" customFormat="1" x14ac:dyDescent="0.25">
      <c r="A120" s="33" t="str">
        <f>IF(ISBLANK(E120),"",_xlfn.XLOOKUP(E120,Info!A:A,Info!B:B))</f>
        <v/>
      </c>
      <c r="B120" s="33"/>
      <c r="C120" s="33"/>
      <c r="D120" s="54"/>
      <c r="E120" s="91"/>
      <c r="F120" s="54"/>
      <c r="G120" s="33" t="str">
        <f>IF(ISBLANK(H120),"",_xlfn.XLOOKUP(H120,Info!A:A,Info!B:B))</f>
        <v/>
      </c>
      <c r="H120" s="98"/>
      <c r="I120" s="103"/>
      <c r="J120" s="33"/>
      <c r="K120" s="33"/>
      <c r="L120" s="33"/>
      <c r="M120" s="67"/>
      <c r="N120" s="92"/>
      <c r="P120" s="92"/>
      <c r="AI120" s="91"/>
    </row>
    <row r="121" spans="1:35" s="32" customFormat="1" x14ac:dyDescent="0.25">
      <c r="A121" s="33" t="str">
        <f>IF(ISBLANK(E121),"",_xlfn.XLOOKUP(E121,Info!A:A,Info!B:B))</f>
        <v/>
      </c>
      <c r="B121" s="33"/>
      <c r="C121" s="33"/>
      <c r="D121" s="54"/>
      <c r="E121" s="91"/>
      <c r="F121" s="54"/>
      <c r="G121" s="33" t="str">
        <f>IF(ISBLANK(H121),"",_xlfn.XLOOKUP(H121,Info!A:A,Info!B:B))</f>
        <v/>
      </c>
      <c r="H121" s="98"/>
      <c r="I121" s="103"/>
      <c r="J121" s="33"/>
      <c r="K121" s="33"/>
      <c r="L121" s="33"/>
      <c r="M121" s="67"/>
      <c r="N121" s="92"/>
      <c r="P121" s="92"/>
      <c r="AI121" s="91"/>
    </row>
    <row r="122" spans="1:35" s="32" customFormat="1" x14ac:dyDescent="0.25">
      <c r="A122" s="33" t="str">
        <f>IF(ISBLANK(E122),"",_xlfn.XLOOKUP(E122,Info!A:A,Info!B:B))</f>
        <v/>
      </c>
      <c r="B122" s="33"/>
      <c r="C122" s="33"/>
      <c r="D122" s="54"/>
      <c r="E122" s="91"/>
      <c r="F122" s="54"/>
      <c r="G122" s="33" t="str">
        <f>IF(ISBLANK(H122),"",_xlfn.XLOOKUP(H122,Info!A:A,Info!B:B))</f>
        <v/>
      </c>
      <c r="H122" s="98"/>
      <c r="I122" s="103"/>
      <c r="J122" s="33"/>
      <c r="K122" s="33"/>
      <c r="L122" s="33"/>
      <c r="M122" s="67"/>
      <c r="N122" s="92"/>
      <c r="P122" s="92"/>
      <c r="AI122" s="91"/>
    </row>
    <row r="123" spans="1:35" s="32" customFormat="1" x14ac:dyDescent="0.25">
      <c r="A123" s="33" t="str">
        <f>IF(ISBLANK(E123),"",_xlfn.XLOOKUP(E123,Info!A:A,Info!B:B))</f>
        <v/>
      </c>
      <c r="B123" s="33"/>
      <c r="C123" s="33"/>
      <c r="D123" s="54"/>
      <c r="E123" s="91"/>
      <c r="F123" s="54"/>
      <c r="G123" s="33" t="str">
        <f>IF(ISBLANK(H123),"",_xlfn.XLOOKUP(H123,Info!A:A,Info!B:B))</f>
        <v/>
      </c>
      <c r="H123" s="98"/>
      <c r="I123" s="103"/>
      <c r="J123" s="33"/>
      <c r="K123" s="33"/>
      <c r="L123" s="33"/>
      <c r="M123" s="67"/>
      <c r="N123" s="92"/>
      <c r="P123" s="92"/>
      <c r="AI123" s="91"/>
    </row>
    <row r="124" spans="1:35" s="32" customFormat="1" x14ac:dyDescent="0.25">
      <c r="A124" s="33" t="str">
        <f>IF(ISBLANK(E124),"",_xlfn.XLOOKUP(E124,Info!A:A,Info!B:B))</f>
        <v/>
      </c>
      <c r="B124" s="33"/>
      <c r="C124" s="33"/>
      <c r="D124" s="54"/>
      <c r="E124" s="91"/>
      <c r="F124" s="54"/>
      <c r="G124" s="33" t="str">
        <f>IF(ISBLANK(H124),"",_xlfn.XLOOKUP(H124,Info!A:A,Info!B:B))</f>
        <v/>
      </c>
      <c r="H124" s="98"/>
      <c r="I124" s="103"/>
      <c r="J124" s="33"/>
      <c r="K124" s="33"/>
      <c r="L124" s="33"/>
      <c r="M124" s="67"/>
      <c r="N124" s="92"/>
      <c r="P124" s="92"/>
      <c r="AI124" s="91"/>
    </row>
    <row r="125" spans="1:35" s="32" customFormat="1" x14ac:dyDescent="0.25">
      <c r="A125" s="33" t="str">
        <f>IF(ISBLANK(E125),"",_xlfn.XLOOKUP(E125,Info!A:A,Info!B:B))</f>
        <v/>
      </c>
      <c r="B125" s="33"/>
      <c r="C125" s="33"/>
      <c r="D125" s="54"/>
      <c r="E125" s="91"/>
      <c r="F125" s="54"/>
      <c r="G125" s="33" t="str">
        <f>IF(ISBLANK(H125),"",_xlfn.XLOOKUP(H125,Info!A:A,Info!B:B))</f>
        <v/>
      </c>
      <c r="H125" s="98"/>
      <c r="I125" s="103"/>
      <c r="J125" s="33"/>
      <c r="K125" s="33"/>
      <c r="L125" s="33"/>
      <c r="M125" s="67"/>
      <c r="N125" s="92"/>
      <c r="P125" s="92"/>
      <c r="AI125" s="91"/>
    </row>
    <row r="126" spans="1:35" s="32" customFormat="1" x14ac:dyDescent="0.25">
      <c r="A126" s="33" t="str">
        <f>IF(ISBLANK(E126),"",_xlfn.XLOOKUP(E126,Info!A:A,Info!B:B))</f>
        <v/>
      </c>
      <c r="B126" s="33"/>
      <c r="C126" s="33"/>
      <c r="D126" s="54"/>
      <c r="E126" s="91"/>
      <c r="F126" s="54"/>
      <c r="G126" s="33" t="str">
        <f>IF(ISBLANK(H126),"",_xlfn.XLOOKUP(H126,Info!A:A,Info!B:B))</f>
        <v/>
      </c>
      <c r="H126" s="98"/>
      <c r="I126" s="103"/>
      <c r="J126" s="33"/>
      <c r="K126" s="33"/>
      <c r="L126" s="33"/>
      <c r="M126" s="67"/>
      <c r="N126" s="92"/>
      <c r="P126" s="92"/>
      <c r="AI126" s="91"/>
    </row>
    <row r="127" spans="1:35" s="32" customFormat="1" x14ac:dyDescent="0.25">
      <c r="A127" s="33" t="str">
        <f>IF(ISBLANK(E127),"",_xlfn.XLOOKUP(E127,Info!A:A,Info!B:B))</f>
        <v/>
      </c>
      <c r="B127" s="33"/>
      <c r="C127" s="33"/>
      <c r="D127" s="54"/>
      <c r="E127" s="91"/>
      <c r="F127" s="54"/>
      <c r="G127" s="33" t="str">
        <f>IF(ISBLANK(H127),"",_xlfn.XLOOKUP(H127,Info!A:A,Info!B:B))</f>
        <v/>
      </c>
      <c r="H127" s="98"/>
      <c r="I127" s="103"/>
      <c r="J127" s="33"/>
      <c r="K127" s="33"/>
      <c r="L127" s="33"/>
      <c r="M127" s="67"/>
      <c r="N127" s="92"/>
      <c r="P127" s="92"/>
      <c r="AI127" s="91"/>
    </row>
    <row r="128" spans="1:35" s="32" customFormat="1" x14ac:dyDescent="0.25">
      <c r="A128" s="33" t="str">
        <f>IF(ISBLANK(E128),"",_xlfn.XLOOKUP(E128,Info!A:A,Info!B:B))</f>
        <v/>
      </c>
      <c r="B128" s="33"/>
      <c r="C128" s="33"/>
      <c r="D128" s="54"/>
      <c r="E128" s="91"/>
      <c r="F128" s="54"/>
      <c r="G128" s="33" t="str">
        <f>IF(ISBLANK(H128),"",_xlfn.XLOOKUP(H128,Info!A:A,Info!B:B))</f>
        <v/>
      </c>
      <c r="H128" s="98"/>
      <c r="I128" s="103"/>
      <c r="J128" s="33"/>
      <c r="K128" s="33"/>
      <c r="L128" s="33"/>
      <c r="M128" s="67"/>
      <c r="N128" s="92"/>
      <c r="P128" s="92"/>
      <c r="AI128" s="91"/>
    </row>
    <row r="129" spans="1:35" s="32" customFormat="1" x14ac:dyDescent="0.25">
      <c r="A129" s="33" t="str">
        <f>IF(ISBLANK(E129),"",_xlfn.XLOOKUP(E129,Info!A:A,Info!B:B))</f>
        <v/>
      </c>
      <c r="B129" s="33"/>
      <c r="C129" s="33"/>
      <c r="D129" s="54"/>
      <c r="E129" s="91"/>
      <c r="F129" s="54"/>
      <c r="G129" s="33" t="str">
        <f>IF(ISBLANK(H129),"",_xlfn.XLOOKUP(H129,Info!A:A,Info!B:B))</f>
        <v/>
      </c>
      <c r="H129" s="98"/>
      <c r="I129" s="103"/>
      <c r="J129" s="33"/>
      <c r="K129" s="33"/>
      <c r="L129" s="33"/>
      <c r="M129" s="67"/>
      <c r="N129" s="92"/>
      <c r="P129" s="92"/>
      <c r="AI129" s="91"/>
    </row>
    <row r="130" spans="1:35" s="32" customFormat="1" x14ac:dyDescent="0.25">
      <c r="A130" s="33" t="str">
        <f>IF(ISBLANK(E130),"",_xlfn.XLOOKUP(E130,Info!A:A,Info!B:B))</f>
        <v/>
      </c>
      <c r="B130" s="33"/>
      <c r="C130" s="33"/>
      <c r="D130" s="54"/>
      <c r="E130" s="91"/>
      <c r="F130" s="54"/>
      <c r="G130" s="33" t="str">
        <f>IF(ISBLANK(H130),"",_xlfn.XLOOKUP(H130,Info!A:A,Info!B:B))</f>
        <v/>
      </c>
      <c r="H130" s="98"/>
      <c r="I130" s="103"/>
      <c r="J130" s="33"/>
      <c r="K130" s="33"/>
      <c r="L130" s="33"/>
      <c r="M130" s="67"/>
      <c r="N130" s="92"/>
      <c r="P130" s="92"/>
      <c r="AI130" s="91"/>
    </row>
    <row r="131" spans="1:35" s="32" customFormat="1" x14ac:dyDescent="0.25">
      <c r="A131" s="33" t="str">
        <f>IF(ISBLANK(E131),"",_xlfn.XLOOKUP(E131,Info!A:A,Info!B:B))</f>
        <v/>
      </c>
      <c r="B131" s="33"/>
      <c r="C131" s="33"/>
      <c r="D131" s="54"/>
      <c r="E131" s="91"/>
      <c r="F131" s="54"/>
      <c r="G131" s="33" t="str">
        <f>IF(ISBLANK(H131),"",_xlfn.XLOOKUP(H131,Info!A:A,Info!B:B))</f>
        <v/>
      </c>
      <c r="H131" s="98"/>
      <c r="I131" s="103"/>
      <c r="J131" s="33"/>
      <c r="K131" s="33"/>
      <c r="L131" s="33"/>
      <c r="M131" s="67"/>
      <c r="N131" s="92"/>
      <c r="P131" s="92"/>
      <c r="AI131" s="91"/>
    </row>
    <row r="132" spans="1:35" s="32" customFormat="1" x14ac:dyDescent="0.25">
      <c r="A132" s="33" t="str">
        <f>IF(ISBLANK(E132),"",_xlfn.XLOOKUP(E132,Info!A:A,Info!B:B))</f>
        <v/>
      </c>
      <c r="B132" s="33"/>
      <c r="C132" s="33"/>
      <c r="D132" s="54"/>
      <c r="E132" s="91"/>
      <c r="F132" s="54"/>
      <c r="G132" s="33" t="str">
        <f>IF(ISBLANK(H132),"",_xlfn.XLOOKUP(H132,Info!A:A,Info!B:B))</f>
        <v/>
      </c>
      <c r="H132" s="98"/>
      <c r="I132" s="103"/>
      <c r="J132" s="33"/>
      <c r="K132" s="33"/>
      <c r="L132" s="33"/>
      <c r="M132" s="67"/>
      <c r="N132" s="50"/>
      <c r="P132" s="92"/>
      <c r="AI132" s="91"/>
    </row>
    <row r="133" spans="1:35" s="32" customFormat="1" x14ac:dyDescent="0.25">
      <c r="A133" s="33" t="str">
        <f>IF(ISBLANK(E133),"",_xlfn.XLOOKUP(E133,Info!A:A,Info!B:B))</f>
        <v/>
      </c>
      <c r="B133" s="33"/>
      <c r="C133" s="33"/>
      <c r="D133" s="54"/>
      <c r="E133" s="91"/>
      <c r="F133" s="54"/>
      <c r="G133" s="33" t="str">
        <f>IF(ISBLANK(H133),"",_xlfn.XLOOKUP(H133,Info!A:A,Info!B:B))</f>
        <v/>
      </c>
      <c r="H133" s="98"/>
      <c r="I133" s="103"/>
      <c r="J133" s="33"/>
      <c r="K133" s="33"/>
      <c r="L133" s="33"/>
      <c r="M133" s="67"/>
      <c r="N133" s="50"/>
      <c r="P133" s="92"/>
      <c r="AI133" s="91"/>
    </row>
    <row r="134" spans="1:35" s="32" customFormat="1" x14ac:dyDescent="0.25">
      <c r="A134" s="33" t="str">
        <f>IF(ISBLANK(E134),"",_xlfn.XLOOKUP(E134,Info!A:A,Info!B:B))</f>
        <v/>
      </c>
      <c r="B134" s="33"/>
      <c r="C134" s="33"/>
      <c r="D134" s="54"/>
      <c r="E134" s="91"/>
      <c r="F134" s="54"/>
      <c r="G134" s="33" t="str">
        <f>IF(ISBLANK(H134),"",_xlfn.XLOOKUP(H134,Info!A:A,Info!B:B))</f>
        <v/>
      </c>
      <c r="H134" s="98"/>
      <c r="I134" s="103"/>
      <c r="J134" s="33"/>
      <c r="K134" s="33"/>
      <c r="L134" s="33"/>
      <c r="M134" s="67"/>
      <c r="N134" s="50"/>
      <c r="P134" s="92"/>
      <c r="AI134" s="91"/>
    </row>
    <row r="135" spans="1:35" s="32" customFormat="1" x14ac:dyDescent="0.25">
      <c r="A135" s="33" t="str">
        <f>IF(ISBLANK(E135),"",_xlfn.XLOOKUP(E135,Info!A:A,Info!B:B))</f>
        <v/>
      </c>
      <c r="B135" s="33"/>
      <c r="C135" s="33"/>
      <c r="D135" s="54"/>
      <c r="E135" s="91"/>
      <c r="F135" s="54"/>
      <c r="G135" s="33" t="str">
        <f>IF(ISBLANK(H135),"",_xlfn.XLOOKUP(H135,Info!A:A,Info!B:B))</f>
        <v/>
      </c>
      <c r="H135" s="98"/>
      <c r="I135" s="103"/>
      <c r="J135" s="33"/>
      <c r="K135" s="33"/>
      <c r="L135" s="33"/>
      <c r="M135" s="67"/>
      <c r="N135" s="50"/>
      <c r="P135" s="92"/>
      <c r="AI135" s="91"/>
    </row>
    <row r="136" spans="1:35" s="32" customFormat="1" x14ac:dyDescent="0.25">
      <c r="A136" s="33" t="str">
        <f>IF(ISBLANK(E136),"",_xlfn.XLOOKUP(E136,Info!A:A,Info!B:B))</f>
        <v/>
      </c>
      <c r="B136" s="33"/>
      <c r="C136" s="33"/>
      <c r="D136" s="54"/>
      <c r="E136" s="91"/>
      <c r="F136" s="54"/>
      <c r="G136" s="33" t="str">
        <f>IF(ISBLANK(H136),"",_xlfn.XLOOKUP(H136,Info!A:A,Info!B:B))</f>
        <v/>
      </c>
      <c r="H136" s="98"/>
      <c r="I136" s="103"/>
      <c r="J136" s="33"/>
      <c r="K136" s="33"/>
      <c r="L136" s="33"/>
      <c r="M136" s="67"/>
      <c r="N136" s="50"/>
      <c r="P136" s="92"/>
      <c r="AI136" s="91"/>
    </row>
    <row r="137" spans="1:35" s="32" customFormat="1" x14ac:dyDescent="0.25">
      <c r="A137" s="33" t="str">
        <f>IF(ISBLANK(E137),"",_xlfn.XLOOKUP(E137,Info!A:A,Info!B:B))</f>
        <v/>
      </c>
      <c r="B137" s="33"/>
      <c r="C137" s="33"/>
      <c r="D137" s="54"/>
      <c r="E137" s="91"/>
      <c r="F137" s="54"/>
      <c r="G137" s="33" t="str">
        <f>IF(ISBLANK(H137),"",_xlfn.XLOOKUP(H137,Info!A:A,Info!B:B))</f>
        <v/>
      </c>
      <c r="H137" s="98"/>
      <c r="I137" s="103"/>
      <c r="J137" s="33"/>
      <c r="K137" s="33"/>
      <c r="L137" s="33"/>
      <c r="M137" s="67"/>
      <c r="N137" s="50"/>
      <c r="P137" s="92"/>
      <c r="AI137" s="91"/>
    </row>
    <row r="138" spans="1:35" s="32" customFormat="1" x14ac:dyDescent="0.25">
      <c r="A138" s="33" t="str">
        <f>IF(ISBLANK(E138),"",_xlfn.XLOOKUP(E138,Info!A:A,Info!B:B))</f>
        <v/>
      </c>
      <c r="B138" s="33"/>
      <c r="C138" s="33"/>
      <c r="D138" s="54"/>
      <c r="E138" s="91"/>
      <c r="F138" s="54"/>
      <c r="G138" s="33" t="str">
        <f>IF(ISBLANK(H138),"",_xlfn.XLOOKUP(H138,Info!A:A,Info!B:B))</f>
        <v/>
      </c>
      <c r="H138" s="98"/>
      <c r="I138" s="103"/>
      <c r="J138" s="33"/>
      <c r="K138" s="33"/>
      <c r="L138" s="33"/>
      <c r="M138" s="67"/>
      <c r="N138" s="50"/>
      <c r="P138" s="92"/>
      <c r="AI138" s="91"/>
    </row>
    <row r="139" spans="1:35" s="32" customFormat="1" x14ac:dyDescent="0.25">
      <c r="A139" s="33" t="str">
        <f>IF(ISBLANK(E139),"",_xlfn.XLOOKUP(E139,Info!A:A,Info!B:B))</f>
        <v/>
      </c>
      <c r="B139" s="33"/>
      <c r="C139" s="33"/>
      <c r="D139" s="54"/>
      <c r="E139" s="91"/>
      <c r="F139" s="54"/>
      <c r="G139" s="33" t="str">
        <f>IF(ISBLANK(H139),"",_xlfn.XLOOKUP(H139,Info!A:A,Info!B:B))</f>
        <v/>
      </c>
      <c r="H139" s="98"/>
      <c r="I139" s="103"/>
      <c r="J139" s="33"/>
      <c r="K139" s="33"/>
      <c r="L139" s="33"/>
      <c r="M139" s="67"/>
      <c r="N139" s="50"/>
      <c r="P139" s="92"/>
      <c r="AI139" s="91"/>
    </row>
    <row r="140" spans="1:35" s="32" customFormat="1" x14ac:dyDescent="0.25">
      <c r="A140" s="33" t="str">
        <f>IF(ISBLANK(E140),"",_xlfn.XLOOKUP(E140,Info!A:A,Info!B:B))</f>
        <v/>
      </c>
      <c r="B140" s="33"/>
      <c r="C140" s="33"/>
      <c r="D140" s="54"/>
      <c r="E140" s="91"/>
      <c r="F140" s="54"/>
      <c r="G140" s="33" t="str">
        <f>IF(ISBLANK(H140),"",_xlfn.XLOOKUP(H140,Info!A:A,Info!B:B))</f>
        <v/>
      </c>
      <c r="H140" s="98"/>
      <c r="I140" s="103"/>
      <c r="J140" s="33"/>
      <c r="K140" s="33"/>
      <c r="L140" s="33"/>
      <c r="M140" s="67"/>
      <c r="N140" s="50"/>
      <c r="P140" s="92"/>
      <c r="AI140" s="91"/>
    </row>
    <row r="141" spans="1:35" s="32" customFormat="1" x14ac:dyDescent="0.25">
      <c r="A141" s="33" t="str">
        <f>IF(ISBLANK(E141),"",_xlfn.XLOOKUP(E141,Info!A:A,Info!B:B))</f>
        <v/>
      </c>
      <c r="B141" s="33"/>
      <c r="C141" s="33"/>
      <c r="D141" s="54"/>
      <c r="E141" s="91"/>
      <c r="F141" s="54"/>
      <c r="G141" s="33" t="str">
        <f>IF(ISBLANK(H141),"",_xlfn.XLOOKUP(H141,Info!A:A,Info!B:B))</f>
        <v/>
      </c>
      <c r="H141" s="98"/>
      <c r="I141" s="103"/>
      <c r="J141" s="33"/>
      <c r="K141" s="33"/>
      <c r="L141" s="33"/>
      <c r="M141" s="67"/>
      <c r="N141" s="50"/>
      <c r="P141" s="92"/>
      <c r="AI141" s="91"/>
    </row>
    <row r="142" spans="1:35" s="32" customFormat="1" x14ac:dyDescent="0.25">
      <c r="A142" s="33" t="str">
        <f>IF(ISBLANK(E142),"",_xlfn.XLOOKUP(E142,Info!A:A,Info!B:B))</f>
        <v/>
      </c>
      <c r="B142" s="33"/>
      <c r="C142" s="33"/>
      <c r="D142" s="54"/>
      <c r="E142" s="91"/>
      <c r="F142" s="54"/>
      <c r="G142" s="33" t="str">
        <f>IF(ISBLANK(H142),"",_xlfn.XLOOKUP(H142,Info!A:A,Info!B:B))</f>
        <v/>
      </c>
      <c r="H142" s="98"/>
      <c r="I142" s="103"/>
      <c r="J142" s="33"/>
      <c r="K142" s="33"/>
      <c r="L142" s="33"/>
      <c r="M142" s="67"/>
      <c r="N142" s="50"/>
      <c r="P142" s="92"/>
      <c r="AI142" s="91"/>
    </row>
    <row r="143" spans="1:35" s="32" customFormat="1" x14ac:dyDescent="0.25">
      <c r="A143" s="33" t="str">
        <f>IF(ISBLANK(E143),"",_xlfn.XLOOKUP(E143,Info!A:A,Info!B:B))</f>
        <v/>
      </c>
      <c r="B143" s="33"/>
      <c r="C143" s="33"/>
      <c r="D143" s="54"/>
      <c r="E143" s="91"/>
      <c r="F143" s="54"/>
      <c r="G143" s="33" t="str">
        <f>IF(ISBLANK(H143),"",_xlfn.XLOOKUP(H143,Info!A:A,Info!B:B))</f>
        <v/>
      </c>
      <c r="H143" s="98"/>
      <c r="I143" s="103"/>
      <c r="J143" s="33"/>
      <c r="K143" s="33"/>
      <c r="L143" s="33"/>
      <c r="M143" s="67"/>
      <c r="N143" s="50"/>
      <c r="P143" s="92"/>
      <c r="AI143" s="91"/>
    </row>
    <row r="144" spans="1:35" s="32" customFormat="1" x14ac:dyDescent="0.25">
      <c r="A144" s="33" t="str">
        <f>IF(ISBLANK(E144),"",_xlfn.XLOOKUP(E144,Info!A:A,Info!B:B))</f>
        <v/>
      </c>
      <c r="B144" s="33"/>
      <c r="C144" s="33"/>
      <c r="D144" s="54"/>
      <c r="E144" s="91"/>
      <c r="F144" s="54"/>
      <c r="G144" s="33" t="str">
        <f>IF(ISBLANK(H144),"",_xlfn.XLOOKUP(H144,Info!A:A,Info!B:B))</f>
        <v/>
      </c>
      <c r="H144" s="98"/>
      <c r="I144" s="103"/>
      <c r="J144" s="33"/>
      <c r="K144" s="33"/>
      <c r="L144" s="33"/>
      <c r="M144" s="67"/>
      <c r="N144" s="50"/>
      <c r="P144" s="92"/>
      <c r="AI144" s="91"/>
    </row>
    <row r="145" spans="1:35" s="32" customFormat="1" x14ac:dyDescent="0.25">
      <c r="A145" s="33" t="str">
        <f>IF(ISBLANK(E145),"",_xlfn.XLOOKUP(E145,Info!A:A,Info!B:B))</f>
        <v/>
      </c>
      <c r="B145" s="33"/>
      <c r="C145" s="33"/>
      <c r="D145" s="54"/>
      <c r="E145" s="91"/>
      <c r="F145" s="54"/>
      <c r="G145" s="33" t="str">
        <f>IF(ISBLANK(H145),"",_xlfn.XLOOKUP(H145,Info!A:A,Info!B:B))</f>
        <v/>
      </c>
      <c r="H145" s="98"/>
      <c r="I145" s="103"/>
      <c r="J145" s="33"/>
      <c r="K145" s="33"/>
      <c r="L145" s="33"/>
      <c r="M145" s="67"/>
      <c r="N145" s="50"/>
      <c r="P145" s="92"/>
      <c r="AI145" s="91"/>
    </row>
    <row r="146" spans="1:35" s="32" customFormat="1" x14ac:dyDescent="0.25">
      <c r="A146" s="33" t="str">
        <f>IF(ISBLANK(E146),"",_xlfn.XLOOKUP(E146,Info!A:A,Info!B:B))</f>
        <v/>
      </c>
      <c r="B146" s="33"/>
      <c r="C146" s="33"/>
      <c r="D146" s="54"/>
      <c r="E146" s="91"/>
      <c r="F146" s="54"/>
      <c r="G146" s="33" t="str">
        <f>IF(ISBLANK(H146),"",_xlfn.XLOOKUP(H146,Info!A:A,Info!B:B))</f>
        <v/>
      </c>
      <c r="H146" s="98"/>
      <c r="I146" s="103"/>
      <c r="J146" s="33"/>
      <c r="K146" s="33"/>
      <c r="L146" s="33"/>
      <c r="M146" s="67"/>
      <c r="N146" s="50"/>
      <c r="P146" s="92"/>
      <c r="AI146" s="91"/>
    </row>
    <row r="147" spans="1:35" s="32" customFormat="1" x14ac:dyDescent="0.25">
      <c r="A147" s="33" t="str">
        <f>IF(ISBLANK(E147),"",_xlfn.XLOOKUP(E147,Info!A:A,Info!B:B))</f>
        <v/>
      </c>
      <c r="B147" s="33"/>
      <c r="C147" s="33"/>
      <c r="D147" s="54"/>
      <c r="E147" s="91"/>
      <c r="F147" s="54"/>
      <c r="G147" s="33" t="str">
        <f>IF(ISBLANK(H147),"",_xlfn.XLOOKUP(H147,Info!A:A,Info!B:B))</f>
        <v/>
      </c>
      <c r="H147" s="98"/>
      <c r="I147" s="103"/>
      <c r="J147" s="33"/>
      <c r="K147" s="33"/>
      <c r="L147" s="33"/>
      <c r="M147" s="67"/>
      <c r="N147" s="50"/>
      <c r="P147" s="92"/>
      <c r="AI147" s="91"/>
    </row>
    <row r="148" spans="1:35" s="32" customFormat="1" x14ac:dyDescent="0.25">
      <c r="A148" s="33" t="str">
        <f>IF(ISBLANK(E148),"",_xlfn.XLOOKUP(E148,Info!A:A,Info!B:B))</f>
        <v/>
      </c>
      <c r="B148" s="33"/>
      <c r="C148" s="33"/>
      <c r="D148" s="54"/>
      <c r="E148" s="91"/>
      <c r="F148" s="54"/>
      <c r="G148" s="33" t="str">
        <f>IF(ISBLANK(H148),"",_xlfn.XLOOKUP(H148,Info!A:A,Info!B:B))</f>
        <v/>
      </c>
      <c r="H148" s="98"/>
      <c r="I148" s="103"/>
      <c r="J148" s="33"/>
      <c r="K148" s="33"/>
      <c r="L148" s="33"/>
      <c r="M148" s="67"/>
      <c r="N148" s="50"/>
      <c r="P148" s="92"/>
      <c r="AI148" s="91"/>
    </row>
    <row r="149" spans="1:35" s="32" customFormat="1" x14ac:dyDescent="0.25">
      <c r="A149" s="33" t="str">
        <f>IF(ISBLANK(E149),"",_xlfn.XLOOKUP(E149,Info!A:A,Info!B:B))</f>
        <v/>
      </c>
      <c r="B149" s="33"/>
      <c r="C149" s="33"/>
      <c r="D149" s="54"/>
      <c r="E149" s="91"/>
      <c r="F149" s="54"/>
      <c r="G149" s="33" t="str">
        <f>IF(ISBLANK(H149),"",_xlfn.XLOOKUP(H149,Info!A:A,Info!B:B))</f>
        <v/>
      </c>
      <c r="H149" s="98"/>
      <c r="I149" s="103"/>
      <c r="J149" s="33"/>
      <c r="K149" s="33"/>
      <c r="L149" s="33"/>
      <c r="M149" s="67"/>
      <c r="N149" s="50"/>
      <c r="P149" s="92"/>
      <c r="AI149" s="91"/>
    </row>
    <row r="150" spans="1:35" s="32" customFormat="1" x14ac:dyDescent="0.25">
      <c r="A150" s="33" t="str">
        <f>IF(ISBLANK(E150),"",_xlfn.XLOOKUP(E150,Info!A:A,Info!B:B))</f>
        <v/>
      </c>
      <c r="B150" s="33"/>
      <c r="C150" s="33"/>
      <c r="D150" s="54"/>
      <c r="E150" s="91"/>
      <c r="F150" s="54"/>
      <c r="G150" s="33" t="str">
        <f>IF(ISBLANK(H150),"",_xlfn.XLOOKUP(H150,Info!A:A,Info!B:B))</f>
        <v/>
      </c>
      <c r="H150" s="98"/>
      <c r="I150" s="103"/>
      <c r="J150" s="33"/>
      <c r="K150" s="33"/>
      <c r="L150" s="33"/>
      <c r="M150" s="67"/>
      <c r="N150" s="50"/>
      <c r="P150" s="92"/>
      <c r="AI150" s="91"/>
    </row>
    <row r="151" spans="1:35" s="32" customFormat="1" x14ac:dyDescent="0.25">
      <c r="A151" s="33" t="str">
        <f>IF(ISBLANK(E151),"",_xlfn.XLOOKUP(E151,Info!A:A,Info!B:B))</f>
        <v/>
      </c>
      <c r="B151" s="33"/>
      <c r="C151" s="33"/>
      <c r="D151" s="54"/>
      <c r="E151" s="91"/>
      <c r="F151" s="54"/>
      <c r="G151" s="33" t="str">
        <f>IF(ISBLANK(H151),"",_xlfn.XLOOKUP(H151,Info!A:A,Info!B:B))</f>
        <v/>
      </c>
      <c r="H151" s="98"/>
      <c r="I151" s="103"/>
      <c r="J151" s="33"/>
      <c r="K151" s="33"/>
      <c r="L151" s="33"/>
      <c r="M151" s="67"/>
      <c r="N151" s="50"/>
      <c r="P151" s="92"/>
      <c r="AI151" s="91"/>
    </row>
    <row r="152" spans="1:35" s="32" customFormat="1" x14ac:dyDescent="0.25">
      <c r="A152" s="33" t="str">
        <f>IF(ISBLANK(E152),"",_xlfn.XLOOKUP(E152,Info!A:A,Info!B:B))</f>
        <v/>
      </c>
      <c r="B152" s="33"/>
      <c r="C152" s="33"/>
      <c r="D152" s="54"/>
      <c r="E152" s="91"/>
      <c r="F152" s="54"/>
      <c r="G152" s="33" t="str">
        <f>IF(ISBLANK(H152),"",_xlfn.XLOOKUP(H152,Info!A:A,Info!B:B))</f>
        <v/>
      </c>
      <c r="H152" s="98"/>
      <c r="I152" s="103"/>
      <c r="J152" s="33"/>
      <c r="K152" s="33"/>
      <c r="L152" s="33"/>
      <c r="M152" s="67"/>
      <c r="N152" s="50"/>
      <c r="P152" s="92"/>
      <c r="AI152" s="91"/>
    </row>
    <row r="153" spans="1:35" s="32" customFormat="1" x14ac:dyDescent="0.25">
      <c r="A153" s="33" t="str">
        <f>IF(ISBLANK(E153),"",_xlfn.XLOOKUP(E153,Info!A:A,Info!B:B))</f>
        <v/>
      </c>
      <c r="B153" s="33"/>
      <c r="C153" s="33"/>
      <c r="D153" s="54"/>
      <c r="E153" s="91"/>
      <c r="F153" s="54"/>
      <c r="G153" s="33" t="str">
        <f>IF(ISBLANK(H153),"",_xlfn.XLOOKUP(H153,Info!A:A,Info!B:B))</f>
        <v/>
      </c>
      <c r="H153" s="98"/>
      <c r="I153" s="103"/>
      <c r="J153" s="33"/>
      <c r="K153" s="33"/>
      <c r="L153" s="33"/>
      <c r="M153" s="67"/>
      <c r="N153" s="50"/>
      <c r="P153" s="92"/>
      <c r="AI153" s="91"/>
    </row>
    <row r="154" spans="1:35" s="32" customFormat="1" x14ac:dyDescent="0.25">
      <c r="A154" s="33" t="str">
        <f>IF(ISBLANK(E154),"",_xlfn.XLOOKUP(E154,Info!A:A,Info!B:B))</f>
        <v/>
      </c>
      <c r="B154" s="33"/>
      <c r="C154" s="33"/>
      <c r="D154" s="54"/>
      <c r="E154" s="91"/>
      <c r="F154" s="54"/>
      <c r="G154" s="33" t="str">
        <f>IF(ISBLANK(H154),"",_xlfn.XLOOKUP(H154,Info!A:A,Info!B:B))</f>
        <v/>
      </c>
      <c r="H154" s="98"/>
      <c r="I154" s="103"/>
      <c r="J154" s="33"/>
      <c r="K154" s="33"/>
      <c r="L154" s="33"/>
      <c r="M154" s="67"/>
      <c r="N154" s="50"/>
      <c r="P154" s="92"/>
      <c r="AI154" s="91"/>
    </row>
    <row r="155" spans="1:35" s="32" customFormat="1" x14ac:dyDescent="0.25">
      <c r="A155" s="33" t="str">
        <f>IF(ISBLANK(E155),"",_xlfn.XLOOKUP(E155,Info!A:A,Info!B:B))</f>
        <v/>
      </c>
      <c r="B155" s="33"/>
      <c r="C155" s="33"/>
      <c r="D155" s="54"/>
      <c r="E155" s="91"/>
      <c r="F155" s="54"/>
      <c r="G155" s="33" t="str">
        <f>IF(ISBLANK(H155),"",_xlfn.XLOOKUP(H155,Info!A:A,Info!B:B))</f>
        <v/>
      </c>
      <c r="H155" s="98"/>
      <c r="I155" s="103"/>
      <c r="J155" s="33"/>
      <c r="K155" s="33"/>
      <c r="L155" s="33"/>
      <c r="M155" s="67"/>
      <c r="N155" s="50"/>
      <c r="P155" s="92"/>
      <c r="AI155" s="91"/>
    </row>
    <row r="156" spans="1:35" s="32" customFormat="1" x14ac:dyDescent="0.25">
      <c r="A156" s="33" t="str">
        <f>IF(ISBLANK(E156),"",_xlfn.XLOOKUP(E156,Info!A:A,Info!B:B))</f>
        <v/>
      </c>
      <c r="B156" s="33"/>
      <c r="C156" s="33"/>
      <c r="D156" s="54"/>
      <c r="E156" s="91"/>
      <c r="F156" s="54"/>
      <c r="G156" s="33" t="str">
        <f>IF(ISBLANK(H156),"",_xlfn.XLOOKUP(H156,Info!A:A,Info!B:B))</f>
        <v/>
      </c>
      <c r="H156" s="98"/>
      <c r="I156" s="103"/>
      <c r="J156" s="33"/>
      <c r="K156" s="33"/>
      <c r="L156" s="33"/>
      <c r="M156" s="67"/>
      <c r="N156" s="50"/>
      <c r="P156" s="92"/>
      <c r="AI156" s="91"/>
    </row>
    <row r="157" spans="1:35" s="32" customFormat="1" x14ac:dyDescent="0.25">
      <c r="A157" s="33" t="str">
        <f>IF(ISBLANK(E157),"",_xlfn.XLOOKUP(E157,Info!A:A,Info!B:B))</f>
        <v/>
      </c>
      <c r="B157" s="33"/>
      <c r="C157" s="33"/>
      <c r="D157" s="54"/>
      <c r="E157" s="91"/>
      <c r="F157" s="54"/>
      <c r="G157" s="33" t="str">
        <f>IF(ISBLANK(H157),"",_xlfn.XLOOKUP(H157,Info!A:A,Info!B:B))</f>
        <v/>
      </c>
      <c r="H157" s="98"/>
      <c r="I157" s="103"/>
      <c r="J157" s="33"/>
      <c r="K157" s="33"/>
      <c r="L157" s="33"/>
      <c r="M157" s="67"/>
      <c r="N157" s="50"/>
      <c r="P157" s="92"/>
      <c r="AI157" s="91"/>
    </row>
    <row r="158" spans="1:35" s="32" customFormat="1" x14ac:dyDescent="0.25">
      <c r="A158" s="33" t="str">
        <f>IF(ISBLANK(E158),"",_xlfn.XLOOKUP(E158,Info!A:A,Info!B:B))</f>
        <v/>
      </c>
      <c r="B158" s="33"/>
      <c r="C158" s="33"/>
      <c r="D158" s="54"/>
      <c r="E158" s="91"/>
      <c r="F158" s="54"/>
      <c r="G158" s="33" t="str">
        <f>IF(ISBLANK(H158),"",_xlfn.XLOOKUP(H158,Info!A:A,Info!B:B))</f>
        <v/>
      </c>
      <c r="H158" s="98"/>
      <c r="I158" s="103"/>
      <c r="J158" s="33"/>
      <c r="K158" s="33"/>
      <c r="L158" s="33"/>
      <c r="M158" s="67"/>
      <c r="N158" s="50"/>
      <c r="P158" s="92"/>
      <c r="AI158" s="91"/>
    </row>
    <row r="159" spans="1:35" s="32" customFormat="1" x14ac:dyDescent="0.25">
      <c r="A159" s="33" t="str">
        <f>IF(ISBLANK(E159),"",_xlfn.XLOOKUP(E159,Info!A:A,Info!B:B))</f>
        <v/>
      </c>
      <c r="B159" s="33"/>
      <c r="C159" s="33"/>
      <c r="D159" s="54"/>
      <c r="E159" s="91"/>
      <c r="F159" s="54"/>
      <c r="G159" s="33" t="str">
        <f>IF(ISBLANK(H159),"",_xlfn.XLOOKUP(H159,Info!A:A,Info!B:B))</f>
        <v/>
      </c>
      <c r="H159" s="98"/>
      <c r="I159" s="103"/>
      <c r="J159" s="33"/>
      <c r="K159" s="33"/>
      <c r="L159" s="33"/>
      <c r="M159" s="67"/>
      <c r="N159" s="50"/>
      <c r="P159" s="92"/>
      <c r="AI159" s="91"/>
    </row>
    <row r="160" spans="1:35" s="32" customFormat="1" x14ac:dyDescent="0.25">
      <c r="A160" s="33" t="str">
        <f>IF(ISBLANK(E160),"",_xlfn.XLOOKUP(E160,Info!A:A,Info!B:B))</f>
        <v/>
      </c>
      <c r="B160" s="33"/>
      <c r="C160" s="33"/>
      <c r="D160" s="54"/>
      <c r="E160" s="91"/>
      <c r="F160" s="54"/>
      <c r="G160" s="33" t="str">
        <f>IF(ISBLANK(H160),"",_xlfn.XLOOKUP(H160,Info!A:A,Info!B:B))</f>
        <v/>
      </c>
      <c r="H160" s="98"/>
      <c r="I160" s="103"/>
      <c r="J160" s="33"/>
      <c r="K160" s="33"/>
      <c r="L160" s="33"/>
      <c r="M160" s="67"/>
      <c r="N160" s="50"/>
      <c r="P160" s="92"/>
      <c r="AI160" s="91"/>
    </row>
    <row r="161" spans="1:35" s="32" customFormat="1" x14ac:dyDescent="0.25">
      <c r="A161" s="33" t="str">
        <f>IF(ISBLANK(E161),"",_xlfn.XLOOKUP(E161,Info!A:A,Info!B:B))</f>
        <v/>
      </c>
      <c r="B161" s="33"/>
      <c r="C161" s="33"/>
      <c r="D161" s="54"/>
      <c r="E161" s="91"/>
      <c r="F161" s="54"/>
      <c r="G161" s="33" t="str">
        <f>IF(ISBLANK(H161),"",_xlfn.XLOOKUP(H161,Info!A:A,Info!B:B))</f>
        <v/>
      </c>
      <c r="H161" s="98"/>
      <c r="I161" s="103"/>
      <c r="J161" s="33"/>
      <c r="K161" s="33"/>
      <c r="L161" s="33"/>
      <c r="M161" s="67"/>
      <c r="N161" s="50"/>
      <c r="P161" s="92"/>
      <c r="AI161" s="91"/>
    </row>
    <row r="162" spans="1:35" s="32" customFormat="1" x14ac:dyDescent="0.25">
      <c r="A162" s="33" t="str">
        <f>IF(ISBLANK(E162),"",_xlfn.XLOOKUP(E162,Info!A:A,Info!B:B))</f>
        <v/>
      </c>
      <c r="B162" s="33"/>
      <c r="C162" s="33"/>
      <c r="D162" s="54"/>
      <c r="E162" s="91"/>
      <c r="F162" s="54"/>
      <c r="G162" s="33" t="str">
        <f>IF(ISBLANK(H162),"",_xlfn.XLOOKUP(H162,Info!A:A,Info!B:B))</f>
        <v/>
      </c>
      <c r="H162" s="98"/>
      <c r="I162" s="103"/>
      <c r="J162" s="33"/>
      <c r="K162" s="33"/>
      <c r="L162" s="33"/>
      <c r="M162" s="67"/>
      <c r="N162" s="50"/>
      <c r="P162" s="92"/>
      <c r="AI162" s="91"/>
    </row>
    <row r="163" spans="1:35" s="32" customFormat="1" x14ac:dyDescent="0.25">
      <c r="A163" s="33" t="str">
        <f>IF(ISBLANK(E163),"",_xlfn.XLOOKUP(E163,Info!A:A,Info!B:B))</f>
        <v/>
      </c>
      <c r="B163" s="33"/>
      <c r="C163" s="33"/>
      <c r="D163" s="54"/>
      <c r="E163" s="91"/>
      <c r="F163" s="54"/>
      <c r="G163" s="33" t="str">
        <f>IF(ISBLANK(H163),"",_xlfn.XLOOKUP(H163,Info!A:A,Info!B:B))</f>
        <v/>
      </c>
      <c r="H163" s="98"/>
      <c r="I163" s="103"/>
      <c r="J163" s="33"/>
      <c r="K163" s="33"/>
      <c r="L163" s="33"/>
      <c r="M163" s="67"/>
      <c r="N163" s="50"/>
      <c r="P163" s="92"/>
      <c r="AI163" s="91"/>
    </row>
    <row r="164" spans="1:35" s="32" customFormat="1" x14ac:dyDescent="0.25">
      <c r="A164" s="33" t="str">
        <f>IF(ISBLANK(E164),"",_xlfn.XLOOKUP(E164,Info!A:A,Info!B:B))</f>
        <v/>
      </c>
      <c r="B164" s="33"/>
      <c r="C164" s="33"/>
      <c r="D164" s="54"/>
      <c r="E164" s="91"/>
      <c r="F164" s="54"/>
      <c r="G164" s="33" t="str">
        <f>IF(ISBLANK(H164),"",_xlfn.XLOOKUP(H164,Info!A:A,Info!B:B))</f>
        <v/>
      </c>
      <c r="H164" s="98"/>
      <c r="I164" s="103"/>
      <c r="J164" s="33"/>
      <c r="K164" s="33"/>
      <c r="L164" s="33"/>
      <c r="M164" s="67"/>
      <c r="N164" s="50"/>
      <c r="P164" s="92"/>
      <c r="AI164" s="91"/>
    </row>
    <row r="165" spans="1:35" s="32" customFormat="1" x14ac:dyDescent="0.25">
      <c r="A165" s="33" t="str">
        <f>IF(ISBLANK(E165),"",_xlfn.XLOOKUP(E165,Info!A:A,Info!B:B))</f>
        <v/>
      </c>
      <c r="B165" s="33"/>
      <c r="C165" s="33"/>
      <c r="D165" s="54"/>
      <c r="E165" s="91"/>
      <c r="F165" s="54"/>
      <c r="G165" s="33" t="str">
        <f>IF(ISBLANK(H165),"",_xlfn.XLOOKUP(H165,Info!A:A,Info!B:B))</f>
        <v/>
      </c>
      <c r="H165" s="98"/>
      <c r="I165" s="103"/>
      <c r="J165" s="33"/>
      <c r="K165" s="33"/>
      <c r="L165" s="33"/>
      <c r="M165" s="67"/>
      <c r="N165" s="50"/>
      <c r="P165" s="92"/>
      <c r="AI165" s="91"/>
    </row>
    <row r="166" spans="1:35" s="32" customFormat="1" x14ac:dyDescent="0.25">
      <c r="A166" s="33" t="str">
        <f>IF(ISBLANK(E166),"",_xlfn.XLOOKUP(E166,Info!A:A,Info!B:B))</f>
        <v/>
      </c>
      <c r="B166" s="33"/>
      <c r="C166" s="33"/>
      <c r="D166" s="54"/>
      <c r="E166" s="91"/>
      <c r="F166" s="54"/>
      <c r="G166" s="33" t="str">
        <f>IF(ISBLANK(H166),"",_xlfn.XLOOKUP(H166,Info!A:A,Info!B:B))</f>
        <v/>
      </c>
      <c r="H166" s="98"/>
      <c r="I166" s="103"/>
      <c r="J166" s="33"/>
      <c r="K166" s="33"/>
      <c r="L166" s="33"/>
      <c r="M166" s="67"/>
      <c r="N166" s="50"/>
      <c r="P166" s="92"/>
      <c r="AI166" s="91"/>
    </row>
    <row r="167" spans="1:35" s="32" customFormat="1" x14ac:dyDescent="0.25">
      <c r="A167" s="33" t="str">
        <f>IF(ISBLANK(E167),"",_xlfn.XLOOKUP(E167,Info!A:A,Info!B:B))</f>
        <v/>
      </c>
      <c r="B167" s="33"/>
      <c r="C167" s="33"/>
      <c r="D167" s="54"/>
      <c r="E167" s="91"/>
      <c r="F167" s="54"/>
      <c r="G167" s="33" t="str">
        <f>IF(ISBLANK(H167),"",_xlfn.XLOOKUP(H167,Info!A:A,Info!B:B))</f>
        <v/>
      </c>
      <c r="H167" s="98"/>
      <c r="I167" s="103"/>
      <c r="J167" s="33"/>
      <c r="K167" s="33"/>
      <c r="L167" s="33"/>
      <c r="M167" s="67"/>
      <c r="N167" s="50"/>
      <c r="P167" s="92"/>
      <c r="AI167" s="91"/>
    </row>
    <row r="168" spans="1:35" s="32" customFormat="1" x14ac:dyDescent="0.25">
      <c r="A168" s="33" t="str">
        <f>IF(ISBLANK(E168),"",_xlfn.XLOOKUP(E168,Info!A:A,Info!B:B))</f>
        <v/>
      </c>
      <c r="B168" s="33"/>
      <c r="C168" s="33"/>
      <c r="D168" s="54"/>
      <c r="E168" s="91"/>
      <c r="F168" s="54"/>
      <c r="G168" s="33" t="str">
        <f>IF(ISBLANK(H168),"",_xlfn.XLOOKUP(H168,Info!A:A,Info!B:B))</f>
        <v/>
      </c>
      <c r="H168" s="98"/>
      <c r="I168" s="103"/>
      <c r="J168" s="33"/>
      <c r="K168" s="33"/>
      <c r="L168" s="33"/>
      <c r="M168" s="67"/>
      <c r="N168" s="50"/>
      <c r="P168" s="92"/>
      <c r="AI168" s="91"/>
    </row>
    <row r="169" spans="1:35" s="32" customFormat="1" x14ac:dyDescent="0.25">
      <c r="A169" s="33" t="str">
        <f>IF(ISBLANK(E169),"",_xlfn.XLOOKUP(E169,Info!A:A,Info!B:B))</f>
        <v/>
      </c>
      <c r="B169" s="33"/>
      <c r="C169" s="33"/>
      <c r="D169" s="54"/>
      <c r="E169" s="91"/>
      <c r="F169" s="54"/>
      <c r="G169" s="33" t="str">
        <f>IF(ISBLANK(H169),"",_xlfn.XLOOKUP(H169,Info!A:A,Info!B:B))</f>
        <v/>
      </c>
      <c r="H169" s="98"/>
      <c r="I169" s="103"/>
      <c r="J169" s="33"/>
      <c r="K169" s="33"/>
      <c r="L169" s="33"/>
      <c r="M169" s="67"/>
      <c r="N169" s="50"/>
      <c r="P169" s="92"/>
      <c r="AI169" s="91"/>
    </row>
    <row r="170" spans="1:35" s="32" customFormat="1" x14ac:dyDescent="0.25">
      <c r="A170" s="33" t="str">
        <f>IF(ISBLANK(E170),"",_xlfn.XLOOKUP(E170,Info!A:A,Info!B:B))</f>
        <v/>
      </c>
      <c r="B170" s="33"/>
      <c r="C170" s="33"/>
      <c r="D170" s="54"/>
      <c r="E170" s="91"/>
      <c r="F170" s="54"/>
      <c r="G170" s="33" t="str">
        <f>IF(ISBLANK(H170),"",_xlfn.XLOOKUP(H170,Info!A:A,Info!B:B))</f>
        <v/>
      </c>
      <c r="H170" s="98"/>
      <c r="I170" s="103"/>
      <c r="J170" s="33"/>
      <c r="K170" s="33"/>
      <c r="L170" s="33"/>
      <c r="M170" s="67"/>
      <c r="N170" s="50"/>
      <c r="P170" s="92"/>
      <c r="AI170" s="91"/>
    </row>
    <row r="171" spans="1:35" s="32" customFormat="1" x14ac:dyDescent="0.25">
      <c r="A171" s="33" t="str">
        <f>IF(ISBLANK(E171),"",_xlfn.XLOOKUP(E171,Info!A:A,Info!B:B))</f>
        <v/>
      </c>
      <c r="B171" s="33"/>
      <c r="C171" s="33"/>
      <c r="D171" s="54"/>
      <c r="E171" s="91"/>
      <c r="F171" s="54"/>
      <c r="G171" s="33" t="str">
        <f>IF(ISBLANK(H171),"",_xlfn.XLOOKUP(H171,Info!A:A,Info!B:B))</f>
        <v/>
      </c>
      <c r="H171" s="98"/>
      <c r="I171" s="103"/>
      <c r="J171" s="33"/>
      <c r="K171" s="33"/>
      <c r="L171" s="33"/>
      <c r="M171" s="67"/>
      <c r="N171" s="50"/>
      <c r="P171" s="92"/>
      <c r="AI171" s="91"/>
    </row>
    <row r="172" spans="1:35" s="32" customFormat="1" x14ac:dyDescent="0.25">
      <c r="A172" s="33" t="str">
        <f>IF(ISBLANK(E172),"",_xlfn.XLOOKUP(E172,Info!A:A,Info!B:B))</f>
        <v/>
      </c>
      <c r="B172" s="33"/>
      <c r="C172" s="33"/>
      <c r="D172" s="54"/>
      <c r="E172" s="91"/>
      <c r="F172" s="54"/>
      <c r="G172" s="33" t="str">
        <f>IF(ISBLANK(H172),"",_xlfn.XLOOKUP(H172,Info!A:A,Info!B:B))</f>
        <v/>
      </c>
      <c r="H172" s="98"/>
      <c r="I172" s="103"/>
      <c r="J172" s="33"/>
      <c r="K172" s="33"/>
      <c r="L172" s="33"/>
      <c r="M172" s="67"/>
      <c r="N172" s="50"/>
      <c r="P172" s="92"/>
      <c r="AI172" s="91"/>
    </row>
    <row r="173" spans="1:35" s="32" customFormat="1" x14ac:dyDescent="0.25">
      <c r="A173" s="33" t="str">
        <f>IF(ISBLANK(E173),"",_xlfn.XLOOKUP(E173,Info!A:A,Info!B:B))</f>
        <v/>
      </c>
      <c r="B173" s="33"/>
      <c r="C173" s="33"/>
      <c r="D173" s="54"/>
      <c r="E173" s="91"/>
      <c r="F173" s="54"/>
      <c r="G173" s="33" t="str">
        <f>IF(ISBLANK(H173),"",_xlfn.XLOOKUP(H173,Info!A:A,Info!B:B))</f>
        <v/>
      </c>
      <c r="H173" s="98"/>
      <c r="I173" s="103"/>
      <c r="J173" s="33"/>
      <c r="K173" s="33"/>
      <c r="L173" s="33"/>
      <c r="M173" s="67"/>
      <c r="N173" s="50"/>
      <c r="P173" s="92"/>
      <c r="AI173" s="91"/>
    </row>
    <row r="174" spans="1:35" s="32" customFormat="1" x14ac:dyDescent="0.25">
      <c r="A174" s="33" t="str">
        <f>IF(ISBLANK(E174),"",_xlfn.XLOOKUP(E174,Info!A:A,Info!B:B))</f>
        <v/>
      </c>
      <c r="B174" s="33"/>
      <c r="C174" s="33"/>
      <c r="D174" s="54"/>
      <c r="E174" s="91"/>
      <c r="F174" s="54"/>
      <c r="G174" s="33" t="str">
        <f>IF(ISBLANK(H174),"",_xlfn.XLOOKUP(H174,Info!A:A,Info!B:B))</f>
        <v/>
      </c>
      <c r="H174" s="98"/>
      <c r="I174" s="103"/>
      <c r="J174" s="33"/>
      <c r="K174" s="33"/>
      <c r="L174" s="33"/>
      <c r="M174" s="67"/>
      <c r="N174" s="50"/>
      <c r="P174" s="92"/>
      <c r="AI174" s="91"/>
    </row>
    <row r="175" spans="1:35" s="32" customFormat="1" x14ac:dyDescent="0.25">
      <c r="A175" s="33" t="str">
        <f>IF(ISBLANK(E175),"",_xlfn.XLOOKUP(E175,Info!A:A,Info!B:B))</f>
        <v/>
      </c>
      <c r="B175" s="33"/>
      <c r="C175" s="33"/>
      <c r="D175" s="54"/>
      <c r="E175" s="91"/>
      <c r="F175" s="54"/>
      <c r="G175" s="33" t="str">
        <f>IF(ISBLANK(H175),"",_xlfn.XLOOKUP(H175,Info!A:A,Info!B:B))</f>
        <v/>
      </c>
      <c r="H175" s="98"/>
      <c r="I175" s="103"/>
      <c r="J175" s="33"/>
      <c r="K175" s="33"/>
      <c r="L175" s="33"/>
      <c r="M175" s="67"/>
      <c r="N175" s="50"/>
      <c r="P175" s="92"/>
      <c r="AI175" s="91"/>
    </row>
    <row r="176" spans="1:35" s="32" customFormat="1" x14ac:dyDescent="0.25">
      <c r="A176" s="33" t="str">
        <f>IF(ISBLANK(E176),"",_xlfn.XLOOKUP(E176,Info!A:A,Info!B:B))</f>
        <v/>
      </c>
      <c r="B176" s="33"/>
      <c r="C176" s="33"/>
      <c r="D176" s="54"/>
      <c r="E176" s="91"/>
      <c r="F176" s="54"/>
      <c r="G176" s="33" t="str">
        <f>IF(ISBLANK(H176),"",_xlfn.XLOOKUP(H176,Info!A:A,Info!B:B))</f>
        <v/>
      </c>
      <c r="H176" s="98"/>
      <c r="I176" s="103"/>
      <c r="J176" s="33"/>
      <c r="K176" s="33"/>
      <c r="L176" s="33"/>
      <c r="M176" s="67"/>
      <c r="N176" s="50"/>
      <c r="P176" s="92"/>
      <c r="AI176" s="91"/>
    </row>
    <row r="177" spans="1:35" s="32" customFormat="1" x14ac:dyDescent="0.25">
      <c r="A177" s="33" t="str">
        <f>IF(ISBLANK(E177),"",_xlfn.XLOOKUP(E177,Info!A:A,Info!B:B))</f>
        <v/>
      </c>
      <c r="B177" s="33"/>
      <c r="C177" s="33"/>
      <c r="D177" s="54"/>
      <c r="E177" s="91"/>
      <c r="F177" s="54"/>
      <c r="G177" s="33" t="str">
        <f>IF(ISBLANK(H177),"",_xlfn.XLOOKUP(H177,Info!A:A,Info!B:B))</f>
        <v/>
      </c>
      <c r="H177" s="98"/>
      <c r="I177" s="103"/>
      <c r="J177" s="33"/>
      <c r="K177" s="33"/>
      <c r="L177" s="33"/>
      <c r="M177" s="67"/>
      <c r="N177" s="50"/>
      <c r="P177" s="92"/>
      <c r="AI177" s="91"/>
    </row>
    <row r="178" spans="1:35" s="32" customFormat="1" x14ac:dyDescent="0.25">
      <c r="A178" s="33" t="str">
        <f>IF(ISBLANK(E178),"",_xlfn.XLOOKUP(E178,Info!A:A,Info!B:B))</f>
        <v/>
      </c>
      <c r="B178" s="33"/>
      <c r="C178" s="33"/>
      <c r="D178" s="54"/>
      <c r="E178" s="91"/>
      <c r="F178" s="54"/>
      <c r="G178" s="33" t="str">
        <f>IF(ISBLANK(H178),"",_xlfn.XLOOKUP(H178,Info!A:A,Info!B:B))</f>
        <v/>
      </c>
      <c r="H178" s="98"/>
      <c r="I178" s="103"/>
      <c r="J178" s="33"/>
      <c r="K178" s="33"/>
      <c r="L178" s="33"/>
      <c r="M178" s="67"/>
      <c r="N178" s="50"/>
      <c r="P178" s="92"/>
      <c r="AI178" s="91"/>
    </row>
    <row r="179" spans="1:35" s="32" customFormat="1" x14ac:dyDescent="0.25">
      <c r="A179" s="33" t="str">
        <f>IF(ISBLANK(E179),"",_xlfn.XLOOKUP(E179,Info!A:A,Info!B:B))</f>
        <v/>
      </c>
      <c r="B179" s="33"/>
      <c r="C179" s="33"/>
      <c r="D179" s="54"/>
      <c r="E179" s="91"/>
      <c r="F179" s="54"/>
      <c r="G179" s="33" t="str">
        <f>IF(ISBLANK(H179),"",_xlfn.XLOOKUP(H179,Info!A:A,Info!B:B))</f>
        <v/>
      </c>
      <c r="H179" s="98"/>
      <c r="I179" s="103"/>
      <c r="J179" s="33"/>
      <c r="K179" s="33"/>
      <c r="L179" s="33"/>
      <c r="M179" s="67"/>
      <c r="N179" s="50"/>
      <c r="P179" s="92"/>
      <c r="AI179" s="91"/>
    </row>
    <row r="180" spans="1:35" s="32" customFormat="1" x14ac:dyDescent="0.25">
      <c r="A180" s="33" t="str">
        <f>IF(ISBLANK(E180),"",_xlfn.XLOOKUP(E180,Info!A:A,Info!B:B))</f>
        <v/>
      </c>
      <c r="B180" s="33"/>
      <c r="C180" s="33"/>
      <c r="D180" s="54"/>
      <c r="E180" s="91"/>
      <c r="F180" s="54"/>
      <c r="G180" s="33" t="str">
        <f>IF(ISBLANK(H180),"",_xlfn.XLOOKUP(H180,Info!A:A,Info!B:B))</f>
        <v/>
      </c>
      <c r="H180" s="98"/>
      <c r="I180" s="103"/>
      <c r="J180" s="33"/>
      <c r="K180" s="33"/>
      <c r="L180" s="33"/>
      <c r="M180" s="67"/>
      <c r="N180" s="50"/>
      <c r="P180" s="92"/>
      <c r="AI180" s="91"/>
    </row>
    <row r="181" spans="1:35" s="32" customFormat="1" x14ac:dyDescent="0.25">
      <c r="A181" s="33" t="str">
        <f>IF(ISBLANK(E181),"",_xlfn.XLOOKUP(E181,Info!A:A,Info!B:B))</f>
        <v/>
      </c>
      <c r="B181" s="33"/>
      <c r="C181" s="33"/>
      <c r="D181" s="54"/>
      <c r="E181" s="91"/>
      <c r="F181" s="54"/>
      <c r="G181" s="33" t="str">
        <f>IF(ISBLANK(H181),"",_xlfn.XLOOKUP(H181,Info!A:A,Info!B:B))</f>
        <v/>
      </c>
      <c r="H181" s="98"/>
      <c r="I181" s="103"/>
      <c r="J181" s="33"/>
      <c r="K181" s="33"/>
      <c r="L181" s="33"/>
      <c r="M181" s="67"/>
      <c r="N181" s="50"/>
      <c r="P181" s="92"/>
      <c r="AI181" s="91"/>
    </row>
    <row r="182" spans="1:35" s="32" customFormat="1" x14ac:dyDescent="0.25">
      <c r="A182" s="33" t="str">
        <f>IF(ISBLANK(E182),"",_xlfn.XLOOKUP(E182,Info!A:A,Info!B:B))</f>
        <v/>
      </c>
      <c r="B182" s="33"/>
      <c r="C182" s="33"/>
      <c r="D182" s="54"/>
      <c r="E182" s="91"/>
      <c r="F182" s="54"/>
      <c r="G182" s="33" t="str">
        <f>IF(ISBLANK(H182),"",_xlfn.XLOOKUP(H182,Info!A:A,Info!B:B))</f>
        <v/>
      </c>
      <c r="H182" s="98"/>
      <c r="I182" s="103"/>
      <c r="J182" s="33"/>
      <c r="K182" s="33"/>
      <c r="L182" s="33"/>
      <c r="M182" s="67"/>
      <c r="N182" s="50"/>
      <c r="P182" s="92"/>
      <c r="AI182" s="91"/>
    </row>
    <row r="183" spans="1:35" s="32" customFormat="1" x14ac:dyDescent="0.25">
      <c r="A183" s="33" t="str">
        <f>IF(ISBLANK(E183),"",_xlfn.XLOOKUP(E183,Info!A:A,Info!B:B))</f>
        <v/>
      </c>
      <c r="B183" s="33"/>
      <c r="C183" s="33"/>
      <c r="D183" s="54"/>
      <c r="E183" s="91"/>
      <c r="F183" s="54"/>
      <c r="G183" s="33" t="str">
        <f>IF(ISBLANK(H183),"",_xlfn.XLOOKUP(H183,Info!A:A,Info!B:B))</f>
        <v/>
      </c>
      <c r="H183" s="98"/>
      <c r="I183" s="103"/>
      <c r="J183" s="33"/>
      <c r="K183" s="33"/>
      <c r="L183" s="33"/>
      <c r="M183" s="67"/>
      <c r="N183" s="50"/>
      <c r="P183" s="92"/>
      <c r="AI183" s="91"/>
    </row>
    <row r="184" spans="1:35" s="32" customFormat="1" x14ac:dyDescent="0.25">
      <c r="A184" s="33" t="str">
        <f>IF(ISBLANK(E184),"",_xlfn.XLOOKUP(E184,Info!A:A,Info!B:B))</f>
        <v/>
      </c>
      <c r="B184" s="33"/>
      <c r="C184" s="33"/>
      <c r="D184" s="54"/>
      <c r="E184" s="91"/>
      <c r="F184" s="54"/>
      <c r="G184" s="33" t="str">
        <f>IF(ISBLANK(H184),"",_xlfn.XLOOKUP(H184,Info!A:A,Info!B:B))</f>
        <v/>
      </c>
      <c r="H184" s="98"/>
      <c r="I184" s="103"/>
      <c r="J184" s="33"/>
      <c r="K184" s="33"/>
      <c r="L184" s="33"/>
      <c r="M184" s="67"/>
      <c r="N184" s="50"/>
      <c r="P184" s="92"/>
      <c r="AI184" s="91"/>
    </row>
    <row r="185" spans="1:35" s="32" customFormat="1" x14ac:dyDescent="0.25">
      <c r="A185" s="33" t="str">
        <f>IF(ISBLANK(E185),"",_xlfn.XLOOKUP(E185,Info!A:A,Info!B:B))</f>
        <v/>
      </c>
      <c r="B185" s="33"/>
      <c r="C185" s="33"/>
      <c r="D185" s="54"/>
      <c r="E185" s="91"/>
      <c r="F185" s="54"/>
      <c r="G185" s="33" t="str">
        <f>IF(ISBLANK(H185),"",_xlfn.XLOOKUP(H185,Info!A:A,Info!B:B))</f>
        <v/>
      </c>
      <c r="H185" s="98"/>
      <c r="I185" s="103"/>
      <c r="J185" s="33"/>
      <c r="K185" s="33"/>
      <c r="L185" s="33"/>
      <c r="M185" s="67"/>
      <c r="N185" s="50"/>
      <c r="P185" s="92"/>
      <c r="AI185" s="91"/>
    </row>
    <row r="186" spans="1:35" s="32" customFormat="1" x14ac:dyDescent="0.25">
      <c r="A186" s="33" t="str">
        <f>IF(ISBLANK(E186),"",_xlfn.XLOOKUP(E186,Info!A:A,Info!B:B))</f>
        <v/>
      </c>
      <c r="B186" s="33"/>
      <c r="C186" s="33"/>
      <c r="D186" s="54"/>
      <c r="E186" s="91"/>
      <c r="F186" s="54"/>
      <c r="G186" s="33" t="str">
        <f>IF(ISBLANK(H186),"",_xlfn.XLOOKUP(H186,Info!A:A,Info!B:B))</f>
        <v/>
      </c>
      <c r="H186" s="98"/>
      <c r="I186" s="103"/>
      <c r="J186" s="33"/>
      <c r="K186" s="33"/>
      <c r="L186" s="33"/>
      <c r="M186" s="67"/>
      <c r="N186" s="50"/>
      <c r="P186" s="92"/>
      <c r="AI186" s="91"/>
    </row>
    <row r="187" spans="1:35" s="32" customFormat="1" x14ac:dyDescent="0.25">
      <c r="A187" s="33" t="str">
        <f>IF(ISBLANK(E187),"",_xlfn.XLOOKUP(E187,Info!A:A,Info!B:B))</f>
        <v/>
      </c>
      <c r="B187" s="33"/>
      <c r="C187" s="33"/>
      <c r="D187" s="54"/>
      <c r="E187" s="91"/>
      <c r="F187" s="54"/>
      <c r="G187" s="33" t="str">
        <f>IF(ISBLANK(H187),"",_xlfn.XLOOKUP(H187,Info!A:A,Info!B:B))</f>
        <v/>
      </c>
      <c r="H187" s="98"/>
      <c r="I187" s="103"/>
      <c r="J187" s="33"/>
      <c r="K187" s="33"/>
      <c r="L187" s="33"/>
      <c r="M187" s="67"/>
      <c r="N187" s="50"/>
      <c r="P187" s="92"/>
      <c r="AI187" s="91"/>
    </row>
    <row r="188" spans="1:35" s="32" customFormat="1" x14ac:dyDescent="0.25">
      <c r="A188" s="33" t="str">
        <f>IF(ISBLANK(E188),"",_xlfn.XLOOKUP(E188,Info!A:A,Info!B:B))</f>
        <v/>
      </c>
      <c r="B188" s="33"/>
      <c r="C188" s="33"/>
      <c r="D188" s="54"/>
      <c r="E188" s="91"/>
      <c r="F188" s="54"/>
      <c r="G188" s="33" t="str">
        <f>IF(ISBLANK(H188),"",_xlfn.XLOOKUP(H188,Info!A:A,Info!B:B))</f>
        <v/>
      </c>
      <c r="H188" s="98"/>
      <c r="I188" s="103"/>
      <c r="J188" s="33"/>
      <c r="K188" s="33"/>
      <c r="L188" s="33"/>
      <c r="M188" s="67"/>
      <c r="N188" s="50"/>
      <c r="P188" s="92"/>
      <c r="AI188" s="91"/>
    </row>
    <row r="189" spans="1:35" s="32" customFormat="1" x14ac:dyDescent="0.25">
      <c r="A189" s="33" t="str">
        <f>IF(ISBLANK(E189),"",_xlfn.XLOOKUP(E189,Info!A:A,Info!B:B))</f>
        <v/>
      </c>
      <c r="B189" s="33"/>
      <c r="C189" s="33"/>
      <c r="D189" s="54"/>
      <c r="E189" s="91"/>
      <c r="F189" s="54"/>
      <c r="G189" s="33" t="str">
        <f>IF(ISBLANK(H189),"",_xlfn.XLOOKUP(H189,Info!A:A,Info!B:B))</f>
        <v/>
      </c>
      <c r="H189" s="98"/>
      <c r="I189" s="103"/>
      <c r="J189" s="33"/>
      <c r="K189" s="33"/>
      <c r="L189" s="33"/>
      <c r="M189" s="67"/>
      <c r="N189" s="50"/>
      <c r="P189" s="92"/>
      <c r="AI189" s="91"/>
    </row>
    <row r="190" spans="1:35" s="32" customFormat="1" x14ac:dyDescent="0.25">
      <c r="A190" s="33" t="str">
        <f>IF(ISBLANK(E190),"",_xlfn.XLOOKUP(E190,Info!A:A,Info!B:B))</f>
        <v/>
      </c>
      <c r="B190" s="33"/>
      <c r="C190" s="33"/>
      <c r="D190" s="54"/>
      <c r="E190" s="91"/>
      <c r="F190" s="54"/>
      <c r="G190" s="33" t="str">
        <f>IF(ISBLANK(H190),"",_xlfn.XLOOKUP(H190,Info!A:A,Info!B:B))</f>
        <v/>
      </c>
      <c r="H190" s="98"/>
      <c r="I190" s="103"/>
      <c r="J190" s="33"/>
      <c r="K190" s="33"/>
      <c r="L190" s="33"/>
      <c r="M190" s="67"/>
      <c r="N190" s="50"/>
      <c r="P190" s="92"/>
      <c r="AI190" s="91"/>
    </row>
    <row r="191" spans="1:35" s="32" customFormat="1" x14ac:dyDescent="0.25">
      <c r="A191" s="33" t="str">
        <f>IF(ISBLANK(E191),"",_xlfn.XLOOKUP(E191,Info!A:A,Info!B:B))</f>
        <v/>
      </c>
      <c r="B191" s="33"/>
      <c r="C191" s="33"/>
      <c r="D191" s="54"/>
      <c r="E191" s="91"/>
      <c r="F191" s="54"/>
      <c r="G191" s="33" t="str">
        <f>IF(ISBLANK(H191),"",_xlfn.XLOOKUP(H191,Info!A:A,Info!B:B))</f>
        <v/>
      </c>
      <c r="H191" s="98"/>
      <c r="I191" s="103"/>
      <c r="J191" s="33"/>
      <c r="K191" s="33"/>
      <c r="L191" s="33"/>
      <c r="M191" s="67"/>
      <c r="N191" s="50"/>
      <c r="P191" s="92"/>
      <c r="AI191" s="91"/>
    </row>
    <row r="192" spans="1:35" s="32" customFormat="1" x14ac:dyDescent="0.25">
      <c r="A192" s="33" t="str">
        <f>IF(ISBLANK(E192),"",_xlfn.XLOOKUP(E192,Info!A:A,Info!B:B))</f>
        <v/>
      </c>
      <c r="B192" s="33"/>
      <c r="C192" s="33"/>
      <c r="D192" s="54"/>
      <c r="E192" s="91"/>
      <c r="F192" s="54"/>
      <c r="G192" s="33" t="str">
        <f>IF(ISBLANK(H192),"",_xlfn.XLOOKUP(H192,Info!A:A,Info!B:B))</f>
        <v/>
      </c>
      <c r="H192" s="98"/>
      <c r="I192" s="103"/>
      <c r="J192" s="33"/>
      <c r="K192" s="33"/>
      <c r="L192" s="33"/>
      <c r="M192" s="67"/>
      <c r="N192" s="50"/>
      <c r="P192" s="92"/>
      <c r="AI192" s="91"/>
    </row>
    <row r="193" spans="1:35" s="32" customFormat="1" x14ac:dyDescent="0.25">
      <c r="A193" s="33" t="str">
        <f>IF(ISBLANK(E193),"",_xlfn.XLOOKUP(E193,Info!A:A,Info!B:B))</f>
        <v/>
      </c>
      <c r="B193" s="33"/>
      <c r="C193" s="33"/>
      <c r="D193" s="54"/>
      <c r="E193" s="91"/>
      <c r="F193" s="54"/>
      <c r="G193" s="33" t="str">
        <f>IF(ISBLANK(H193),"",_xlfn.XLOOKUP(H193,Info!A:A,Info!B:B))</f>
        <v/>
      </c>
      <c r="H193" s="98"/>
      <c r="I193" s="103"/>
      <c r="J193" s="33"/>
      <c r="K193" s="33"/>
      <c r="L193" s="33"/>
      <c r="M193" s="67"/>
      <c r="N193" s="50"/>
      <c r="P193" s="92"/>
      <c r="AI193" s="91"/>
    </row>
    <row r="194" spans="1:35" s="32" customFormat="1" x14ac:dyDescent="0.25">
      <c r="A194" s="33" t="str">
        <f>IF(ISBLANK(E194),"",_xlfn.XLOOKUP(E194,Info!A:A,Info!B:B))</f>
        <v/>
      </c>
      <c r="B194" s="33"/>
      <c r="C194" s="33"/>
      <c r="D194" s="54"/>
      <c r="E194" s="91"/>
      <c r="F194" s="54"/>
      <c r="G194" s="33" t="str">
        <f>IF(ISBLANK(H194),"",_xlfn.XLOOKUP(H194,Info!A:A,Info!B:B))</f>
        <v/>
      </c>
      <c r="H194" s="98"/>
      <c r="I194" s="103"/>
      <c r="J194" s="33"/>
      <c r="K194" s="33"/>
      <c r="L194" s="33"/>
      <c r="M194" s="67"/>
      <c r="N194" s="50"/>
      <c r="P194" s="92"/>
      <c r="AI194" s="91"/>
    </row>
    <row r="195" spans="1:35" s="32" customFormat="1" x14ac:dyDescent="0.25">
      <c r="A195" s="33" t="str">
        <f>IF(ISBLANK(E195),"",_xlfn.XLOOKUP(E195,Info!A:A,Info!B:B))</f>
        <v/>
      </c>
      <c r="B195" s="33"/>
      <c r="C195" s="33"/>
      <c r="D195" s="54"/>
      <c r="E195" s="91"/>
      <c r="F195" s="54"/>
      <c r="G195" s="33" t="str">
        <f>IF(ISBLANK(H195),"",_xlfn.XLOOKUP(H195,Info!A:A,Info!B:B))</f>
        <v/>
      </c>
      <c r="H195" s="98"/>
      <c r="I195" s="103"/>
      <c r="J195" s="33"/>
      <c r="K195" s="33"/>
      <c r="L195" s="33"/>
      <c r="M195" s="67"/>
      <c r="N195" s="50"/>
      <c r="P195" s="92"/>
      <c r="AI195" s="91"/>
    </row>
    <row r="196" spans="1:35" s="32" customFormat="1" x14ac:dyDescent="0.25">
      <c r="A196" s="33" t="str">
        <f>IF(ISBLANK(E196),"",_xlfn.XLOOKUP(E196,Info!A:A,Info!B:B))</f>
        <v/>
      </c>
      <c r="B196" s="33"/>
      <c r="C196" s="33"/>
      <c r="D196" s="54"/>
      <c r="E196" s="91"/>
      <c r="F196" s="54"/>
      <c r="G196" s="33" t="str">
        <f>IF(ISBLANK(H196),"",_xlfn.XLOOKUP(H196,Info!A:A,Info!B:B))</f>
        <v/>
      </c>
      <c r="H196" s="98"/>
      <c r="I196" s="103"/>
      <c r="J196" s="33"/>
      <c r="K196" s="33"/>
      <c r="L196" s="33"/>
      <c r="M196" s="67"/>
      <c r="N196" s="50"/>
      <c r="P196" s="92"/>
      <c r="AI196" s="91"/>
    </row>
    <row r="197" spans="1:35" s="32" customFormat="1" x14ac:dyDescent="0.25">
      <c r="A197" s="33" t="str">
        <f>IF(ISBLANK(E197),"",_xlfn.XLOOKUP(E197,Info!A:A,Info!B:B))</f>
        <v/>
      </c>
      <c r="B197" s="33"/>
      <c r="C197" s="33"/>
      <c r="D197" s="54"/>
      <c r="E197" s="91"/>
      <c r="F197" s="54"/>
      <c r="G197" s="33" t="str">
        <f>IF(ISBLANK(H197),"",_xlfn.XLOOKUP(H197,Info!A:A,Info!B:B))</f>
        <v/>
      </c>
      <c r="H197" s="98"/>
      <c r="I197" s="103"/>
      <c r="J197" s="33"/>
      <c r="K197" s="33"/>
      <c r="L197" s="33"/>
      <c r="M197" s="67"/>
      <c r="N197" s="50"/>
      <c r="P197" s="92"/>
      <c r="AI197" s="91"/>
    </row>
    <row r="198" spans="1:35" s="32" customFormat="1" x14ac:dyDescent="0.25">
      <c r="A198" s="33" t="str">
        <f>IF(ISBLANK(E198),"",_xlfn.XLOOKUP(E198,Info!A:A,Info!B:B))</f>
        <v/>
      </c>
      <c r="B198" s="33"/>
      <c r="C198" s="33"/>
      <c r="D198" s="54"/>
      <c r="E198" s="91"/>
      <c r="F198" s="54"/>
      <c r="G198" s="33" t="str">
        <f>IF(ISBLANK(H198),"",_xlfn.XLOOKUP(H198,Info!A:A,Info!B:B))</f>
        <v/>
      </c>
      <c r="H198" s="98"/>
      <c r="I198" s="103"/>
      <c r="J198" s="33"/>
      <c r="K198" s="33"/>
      <c r="L198" s="33"/>
      <c r="M198" s="67"/>
      <c r="N198" s="50"/>
      <c r="P198" s="92"/>
      <c r="AI198" s="91"/>
    </row>
    <row r="199" spans="1:35" s="32" customFormat="1" x14ac:dyDescent="0.25">
      <c r="A199" s="33" t="str">
        <f>IF(ISBLANK(E199),"",_xlfn.XLOOKUP(E199,Info!A:A,Info!B:B))</f>
        <v/>
      </c>
      <c r="B199" s="33"/>
      <c r="C199" s="33"/>
      <c r="D199" s="54"/>
      <c r="E199" s="91"/>
      <c r="F199" s="54"/>
      <c r="G199" s="33" t="str">
        <f>IF(ISBLANK(H199),"",_xlfn.XLOOKUP(H199,Info!A:A,Info!B:B))</f>
        <v/>
      </c>
      <c r="H199" s="98"/>
      <c r="I199" s="103"/>
      <c r="J199" s="33"/>
      <c r="K199" s="33"/>
      <c r="L199" s="33"/>
      <c r="M199" s="67"/>
      <c r="N199" s="50"/>
      <c r="P199" s="92"/>
      <c r="AI199" s="91"/>
    </row>
    <row r="200" spans="1:35" s="32" customFormat="1" x14ac:dyDescent="0.25">
      <c r="A200" s="33" t="str">
        <f>IF(ISBLANK(E200),"",_xlfn.XLOOKUP(E200,Info!A:A,Info!B:B))</f>
        <v/>
      </c>
      <c r="B200" s="33"/>
      <c r="C200" s="33"/>
      <c r="D200" s="54"/>
      <c r="E200" s="91"/>
      <c r="F200" s="54"/>
      <c r="G200" s="33" t="str">
        <f>IF(ISBLANK(H200),"",_xlfn.XLOOKUP(H200,Info!A:A,Info!B:B))</f>
        <v/>
      </c>
      <c r="H200" s="98"/>
      <c r="I200" s="103"/>
      <c r="J200" s="33"/>
      <c r="K200" s="33"/>
      <c r="L200" s="33"/>
      <c r="M200" s="67"/>
      <c r="N200" s="50"/>
      <c r="P200" s="92"/>
      <c r="AI200" s="91"/>
    </row>
    <row r="201" spans="1:35" s="32" customFormat="1" x14ac:dyDescent="0.25">
      <c r="A201" s="33" t="str">
        <f>IF(ISBLANK(E201),"",_xlfn.XLOOKUP(E201,Info!A:A,Info!B:B))</f>
        <v/>
      </c>
      <c r="B201" s="33"/>
      <c r="C201" s="33"/>
      <c r="D201" s="54"/>
      <c r="E201" s="91"/>
      <c r="F201" s="54"/>
      <c r="G201" s="33" t="str">
        <f>IF(ISBLANK(H201),"",_xlfn.XLOOKUP(H201,Info!A:A,Info!B:B))</f>
        <v/>
      </c>
      <c r="H201" s="98"/>
      <c r="I201" s="103"/>
      <c r="J201" s="33"/>
      <c r="K201" s="33"/>
      <c r="L201" s="33"/>
      <c r="M201" s="67"/>
      <c r="N201" s="50"/>
      <c r="P201" s="92"/>
      <c r="AI201" s="91"/>
    </row>
    <row r="202" spans="1:35" s="32" customFormat="1" x14ac:dyDescent="0.25">
      <c r="A202" s="33" t="str">
        <f>IF(ISBLANK(E202),"",_xlfn.XLOOKUP(E202,Info!A:A,Info!B:B))</f>
        <v/>
      </c>
      <c r="B202" s="33"/>
      <c r="C202" s="33"/>
      <c r="D202" s="54"/>
      <c r="E202" s="91"/>
      <c r="F202" s="54"/>
      <c r="G202" s="33" t="str">
        <f>IF(ISBLANK(H202),"",_xlfn.XLOOKUP(H202,Info!A:A,Info!B:B))</f>
        <v/>
      </c>
      <c r="H202" s="98"/>
      <c r="I202" s="103"/>
      <c r="J202" s="33"/>
      <c r="K202" s="33"/>
      <c r="L202" s="33"/>
      <c r="M202" s="67"/>
      <c r="N202" s="50"/>
      <c r="P202" s="92"/>
      <c r="AI202" s="91"/>
    </row>
    <row r="203" spans="1:35" s="32" customFormat="1" x14ac:dyDescent="0.25">
      <c r="A203" s="33" t="str">
        <f>IF(ISBLANK(E203),"",_xlfn.XLOOKUP(E203,Info!A:A,Info!B:B))</f>
        <v/>
      </c>
      <c r="B203" s="33"/>
      <c r="C203" s="33"/>
      <c r="D203" s="54"/>
      <c r="E203" s="91"/>
      <c r="F203" s="54"/>
      <c r="G203" s="33" t="str">
        <f>IF(ISBLANK(H203),"",_xlfn.XLOOKUP(H203,Info!A:A,Info!B:B))</f>
        <v/>
      </c>
      <c r="H203" s="98"/>
      <c r="I203" s="103"/>
      <c r="J203" s="33"/>
      <c r="K203" s="33"/>
      <c r="L203" s="33"/>
      <c r="M203" s="67"/>
      <c r="N203" s="50"/>
      <c r="P203" s="92"/>
      <c r="AI203" s="91"/>
    </row>
    <row r="204" spans="1:35" s="32" customFormat="1" x14ac:dyDescent="0.25">
      <c r="A204" s="33" t="str">
        <f>IF(ISBLANK(E204),"",_xlfn.XLOOKUP(E204,Info!A:A,Info!B:B))</f>
        <v/>
      </c>
      <c r="B204" s="33"/>
      <c r="C204" s="33"/>
      <c r="D204" s="54"/>
      <c r="E204" s="91"/>
      <c r="F204" s="54"/>
      <c r="G204" s="33" t="str">
        <f>IF(ISBLANK(H204),"",_xlfn.XLOOKUP(H204,Info!A:A,Info!B:B))</f>
        <v/>
      </c>
      <c r="H204" s="98"/>
      <c r="I204" s="103"/>
      <c r="J204" s="33"/>
      <c r="K204" s="33"/>
      <c r="L204" s="33"/>
      <c r="M204" s="67"/>
      <c r="N204" s="50"/>
      <c r="P204" s="92"/>
      <c r="AI204" s="91"/>
    </row>
    <row r="205" spans="1:35" s="32" customFormat="1" x14ac:dyDescent="0.25">
      <c r="A205" s="33" t="str">
        <f>IF(ISBLANK(E205),"",_xlfn.XLOOKUP(E205,Info!A:A,Info!B:B))</f>
        <v/>
      </c>
      <c r="B205" s="33"/>
      <c r="C205" s="33"/>
      <c r="D205" s="54"/>
      <c r="E205" s="91"/>
      <c r="F205" s="54"/>
      <c r="G205" s="33" t="str">
        <f>IF(ISBLANK(H205),"",_xlfn.XLOOKUP(H205,Info!A:A,Info!B:B))</f>
        <v/>
      </c>
      <c r="H205" s="98"/>
      <c r="I205" s="103"/>
      <c r="J205" s="33"/>
      <c r="K205" s="33"/>
      <c r="L205" s="33"/>
      <c r="M205" s="67"/>
      <c r="N205" s="50"/>
      <c r="P205" s="92"/>
      <c r="AI205" s="91"/>
    </row>
    <row r="206" spans="1:35" s="32" customFormat="1" x14ac:dyDescent="0.25">
      <c r="A206" s="33" t="str">
        <f>IF(ISBLANK(E206),"",_xlfn.XLOOKUP(E206,Info!A:A,Info!B:B))</f>
        <v/>
      </c>
      <c r="B206" s="33"/>
      <c r="C206" s="33"/>
      <c r="D206" s="54"/>
      <c r="E206" s="91"/>
      <c r="F206" s="54"/>
      <c r="G206" s="33" t="str">
        <f>IF(ISBLANK(H206),"",_xlfn.XLOOKUP(H206,Info!A:A,Info!B:B))</f>
        <v/>
      </c>
      <c r="H206" s="98"/>
      <c r="I206" s="103"/>
      <c r="J206" s="33"/>
      <c r="K206" s="33"/>
      <c r="L206" s="33"/>
      <c r="M206" s="67"/>
      <c r="N206" s="50"/>
      <c r="P206" s="92"/>
      <c r="AI206" s="91"/>
    </row>
    <row r="207" spans="1:35" s="32" customFormat="1" x14ac:dyDescent="0.25">
      <c r="A207" s="33" t="str">
        <f>IF(ISBLANK(E207),"",_xlfn.XLOOKUP(E207,Info!A:A,Info!B:B))</f>
        <v/>
      </c>
      <c r="B207" s="33"/>
      <c r="C207" s="33"/>
      <c r="D207" s="54"/>
      <c r="E207" s="91"/>
      <c r="F207" s="54"/>
      <c r="G207" s="33" t="str">
        <f>IF(ISBLANK(H207),"",_xlfn.XLOOKUP(H207,Info!A:A,Info!B:B))</f>
        <v/>
      </c>
      <c r="H207" s="98"/>
      <c r="I207" s="103"/>
      <c r="J207" s="33"/>
      <c r="K207" s="33"/>
      <c r="L207" s="33"/>
      <c r="M207" s="67"/>
      <c r="N207" s="50"/>
      <c r="P207" s="92"/>
      <c r="AI207" s="91"/>
    </row>
    <row r="208" spans="1:35" s="32" customFormat="1" x14ac:dyDescent="0.25">
      <c r="A208" s="33" t="str">
        <f>IF(ISBLANK(E208),"",_xlfn.XLOOKUP(E208,Info!A:A,Info!B:B))</f>
        <v/>
      </c>
      <c r="B208" s="33"/>
      <c r="C208" s="33"/>
      <c r="D208" s="54"/>
      <c r="E208" s="91"/>
      <c r="F208" s="54"/>
      <c r="G208" s="33" t="str">
        <f>IF(ISBLANK(H208),"",_xlfn.XLOOKUP(H208,Info!A:A,Info!B:B))</f>
        <v/>
      </c>
      <c r="H208" s="98"/>
      <c r="I208" s="103"/>
      <c r="J208" s="33"/>
      <c r="K208" s="33"/>
      <c r="L208" s="33"/>
      <c r="M208" s="67"/>
      <c r="N208" s="50"/>
      <c r="P208" s="92"/>
      <c r="AI208" s="91"/>
    </row>
    <row r="209" spans="1:35" s="32" customFormat="1" x14ac:dyDescent="0.25">
      <c r="A209" s="33" t="str">
        <f>IF(ISBLANK(E209),"",_xlfn.XLOOKUP(E209,Info!A:A,Info!B:B))</f>
        <v/>
      </c>
      <c r="B209" s="33"/>
      <c r="C209" s="33"/>
      <c r="D209" s="54"/>
      <c r="E209" s="91"/>
      <c r="F209" s="54"/>
      <c r="G209" s="33" t="str">
        <f>IF(ISBLANK(H209),"",_xlfn.XLOOKUP(H209,Info!A:A,Info!B:B))</f>
        <v/>
      </c>
      <c r="H209" s="98"/>
      <c r="I209" s="103"/>
      <c r="J209" s="33"/>
      <c r="K209" s="33"/>
      <c r="L209" s="33"/>
      <c r="M209" s="67"/>
      <c r="N209" s="50"/>
      <c r="P209" s="92"/>
      <c r="AI209" s="91"/>
    </row>
    <row r="210" spans="1:35" s="32" customFormat="1" x14ac:dyDescent="0.25">
      <c r="A210" s="33" t="str">
        <f>IF(ISBLANK(E210),"",_xlfn.XLOOKUP(E210,Info!A:A,Info!B:B))</f>
        <v/>
      </c>
      <c r="B210" s="33"/>
      <c r="C210" s="33"/>
      <c r="D210" s="54"/>
      <c r="E210" s="91"/>
      <c r="F210" s="54"/>
      <c r="G210" s="33" t="str">
        <f>IF(ISBLANK(H210),"",_xlfn.XLOOKUP(H210,Info!A:A,Info!B:B))</f>
        <v/>
      </c>
      <c r="H210" s="98"/>
      <c r="I210" s="103"/>
      <c r="J210" s="33"/>
      <c r="K210" s="33"/>
      <c r="L210" s="33"/>
      <c r="M210" s="67"/>
      <c r="N210" s="50"/>
      <c r="P210" s="92"/>
      <c r="AI210" s="91"/>
    </row>
    <row r="211" spans="1:35" s="32" customFormat="1" x14ac:dyDescent="0.25">
      <c r="A211" s="33" t="str">
        <f>IF(ISBLANK(E211),"",_xlfn.XLOOKUP(E211,Info!A:A,Info!B:B))</f>
        <v/>
      </c>
      <c r="B211" s="33"/>
      <c r="C211" s="33"/>
      <c r="D211" s="54"/>
      <c r="E211" s="91"/>
      <c r="F211" s="54"/>
      <c r="G211" s="33" t="str">
        <f>IF(ISBLANK(H211),"",_xlfn.XLOOKUP(H211,Info!A:A,Info!B:B))</f>
        <v/>
      </c>
      <c r="H211" s="98"/>
      <c r="I211" s="103"/>
      <c r="J211" s="33"/>
      <c r="K211" s="33"/>
      <c r="L211" s="33"/>
      <c r="M211" s="67"/>
      <c r="N211" s="50"/>
      <c r="P211" s="92"/>
      <c r="AI211" s="91"/>
    </row>
    <row r="212" spans="1:35" s="32" customFormat="1" x14ac:dyDescent="0.25">
      <c r="A212" s="33" t="str">
        <f>IF(ISBLANK(E212),"",_xlfn.XLOOKUP(E212,Info!A:A,Info!B:B))</f>
        <v/>
      </c>
      <c r="B212" s="33"/>
      <c r="C212" s="33"/>
      <c r="D212" s="54"/>
      <c r="E212" s="91"/>
      <c r="F212" s="54"/>
      <c r="G212" s="33" t="str">
        <f>IF(ISBLANK(H212),"",_xlfn.XLOOKUP(H212,Info!A:A,Info!B:B))</f>
        <v/>
      </c>
      <c r="H212" s="98"/>
      <c r="I212" s="103"/>
      <c r="J212" s="33"/>
      <c r="K212" s="33"/>
      <c r="L212" s="33"/>
      <c r="M212" s="67"/>
      <c r="N212" s="50"/>
      <c r="P212" s="92"/>
      <c r="AI212" s="91"/>
    </row>
    <row r="213" spans="1:35" s="32" customFormat="1" x14ac:dyDescent="0.25">
      <c r="A213" s="33" t="str">
        <f>IF(ISBLANK(E213),"",_xlfn.XLOOKUP(E213,Info!A:A,Info!B:B))</f>
        <v/>
      </c>
      <c r="B213" s="33"/>
      <c r="C213" s="33"/>
      <c r="D213" s="54"/>
      <c r="E213" s="91"/>
      <c r="F213" s="54"/>
      <c r="G213" s="33" t="str">
        <f>IF(ISBLANK(H213),"",_xlfn.XLOOKUP(H213,Info!A:A,Info!B:B))</f>
        <v/>
      </c>
      <c r="H213" s="98"/>
      <c r="I213" s="103"/>
      <c r="J213" s="33"/>
      <c r="K213" s="33"/>
      <c r="L213" s="33"/>
      <c r="M213" s="67"/>
      <c r="N213" s="50"/>
      <c r="P213" s="92"/>
      <c r="AI213" s="91"/>
    </row>
    <row r="214" spans="1:35" s="32" customFormat="1" x14ac:dyDescent="0.25">
      <c r="A214" s="33" t="str">
        <f>IF(ISBLANK(E214),"",_xlfn.XLOOKUP(E214,Info!A:A,Info!B:B))</f>
        <v/>
      </c>
      <c r="B214" s="33"/>
      <c r="C214" s="33"/>
      <c r="D214" s="54"/>
      <c r="E214" s="91"/>
      <c r="F214" s="54"/>
      <c r="G214" s="33" t="str">
        <f>IF(ISBLANK(H214),"",_xlfn.XLOOKUP(H214,Info!A:A,Info!B:B))</f>
        <v/>
      </c>
      <c r="H214" s="98"/>
      <c r="I214" s="103"/>
      <c r="J214" s="33"/>
      <c r="K214" s="33"/>
      <c r="L214" s="33"/>
      <c r="M214" s="67"/>
      <c r="N214" s="50"/>
      <c r="P214" s="92"/>
      <c r="AI214" s="91"/>
    </row>
    <row r="215" spans="1:35" s="32" customFormat="1" x14ac:dyDescent="0.25">
      <c r="A215" s="33" t="str">
        <f>IF(ISBLANK(E215),"",_xlfn.XLOOKUP(E215,Info!A:A,Info!B:B))</f>
        <v/>
      </c>
      <c r="B215" s="33"/>
      <c r="C215" s="33"/>
      <c r="D215" s="54"/>
      <c r="E215" s="91"/>
      <c r="F215" s="54"/>
      <c r="G215" s="33" t="str">
        <f>IF(ISBLANK(H215),"",_xlfn.XLOOKUP(H215,Info!A:A,Info!B:B))</f>
        <v/>
      </c>
      <c r="H215" s="98"/>
      <c r="I215" s="103"/>
      <c r="J215" s="33"/>
      <c r="K215" s="33"/>
      <c r="L215" s="33"/>
      <c r="M215" s="67"/>
      <c r="N215" s="50"/>
      <c r="P215" s="92"/>
      <c r="AI215" s="91"/>
    </row>
    <row r="216" spans="1:35" s="32" customFormat="1" x14ac:dyDescent="0.25">
      <c r="A216" s="33" t="str">
        <f>IF(ISBLANK(E216),"",_xlfn.XLOOKUP(E216,Info!A:A,Info!B:B))</f>
        <v/>
      </c>
      <c r="B216" s="33"/>
      <c r="C216" s="33"/>
      <c r="D216" s="54"/>
      <c r="E216" s="91"/>
      <c r="F216" s="54"/>
      <c r="G216" s="33" t="str">
        <f>IF(ISBLANK(H216),"",_xlfn.XLOOKUP(H216,Info!A:A,Info!B:B))</f>
        <v/>
      </c>
      <c r="H216" s="98"/>
      <c r="I216" s="103"/>
      <c r="J216" s="33"/>
      <c r="K216" s="33"/>
      <c r="L216" s="33"/>
      <c r="M216" s="67"/>
      <c r="N216" s="50"/>
      <c r="P216" s="92"/>
      <c r="AI216" s="91"/>
    </row>
    <row r="217" spans="1:35" s="32" customFormat="1" x14ac:dyDescent="0.25">
      <c r="A217" s="33" t="str">
        <f>IF(ISBLANK(E217),"",_xlfn.XLOOKUP(E217,Info!A:A,Info!B:B))</f>
        <v/>
      </c>
      <c r="B217" s="33"/>
      <c r="C217" s="33"/>
      <c r="D217" s="54"/>
      <c r="E217" s="91"/>
      <c r="F217" s="54"/>
      <c r="G217" s="33" t="str">
        <f>IF(ISBLANK(H217),"",_xlfn.XLOOKUP(H217,Info!A:A,Info!B:B))</f>
        <v/>
      </c>
      <c r="H217" s="98"/>
      <c r="I217" s="103"/>
      <c r="J217" s="33"/>
      <c r="K217" s="33"/>
      <c r="L217" s="33"/>
      <c r="M217" s="67"/>
      <c r="N217" s="50"/>
      <c r="P217" s="92"/>
      <c r="AI217" s="91"/>
    </row>
    <row r="218" spans="1:35" s="32" customFormat="1" x14ac:dyDescent="0.25">
      <c r="A218" s="33" t="str">
        <f>IF(ISBLANK(E218),"",_xlfn.XLOOKUP(E218,Info!A:A,Info!B:B))</f>
        <v/>
      </c>
      <c r="B218" s="33"/>
      <c r="C218" s="33"/>
      <c r="D218" s="54"/>
      <c r="E218" s="91"/>
      <c r="F218" s="54"/>
      <c r="G218" s="33" t="str">
        <f>IF(ISBLANK(H218),"",_xlfn.XLOOKUP(H218,Info!A:A,Info!B:B))</f>
        <v/>
      </c>
      <c r="H218" s="98"/>
      <c r="I218" s="103"/>
      <c r="J218" s="33"/>
      <c r="K218" s="33"/>
      <c r="L218" s="33"/>
      <c r="M218" s="67"/>
      <c r="N218" s="50"/>
      <c r="P218" s="92"/>
      <c r="AI218" s="91"/>
    </row>
    <row r="219" spans="1:35" s="32" customFormat="1" x14ac:dyDescent="0.25">
      <c r="A219" s="33" t="str">
        <f>IF(ISBLANK(E219),"",_xlfn.XLOOKUP(E219,Info!A:A,Info!B:B))</f>
        <v/>
      </c>
      <c r="B219" s="33"/>
      <c r="C219" s="33"/>
      <c r="D219" s="54"/>
      <c r="E219" s="91"/>
      <c r="F219" s="54"/>
      <c r="G219" s="33" t="str">
        <f>IF(ISBLANK(H219),"",_xlfn.XLOOKUP(H219,Info!A:A,Info!B:B))</f>
        <v/>
      </c>
      <c r="H219" s="98"/>
      <c r="I219" s="103"/>
      <c r="J219" s="33"/>
      <c r="K219" s="33"/>
      <c r="L219" s="33"/>
      <c r="M219" s="67"/>
      <c r="N219" s="50"/>
      <c r="P219" s="92"/>
      <c r="AI219" s="91"/>
    </row>
    <row r="220" spans="1:35" s="32" customFormat="1" x14ac:dyDescent="0.25">
      <c r="A220" s="33" t="str">
        <f>IF(ISBLANK(E220),"",_xlfn.XLOOKUP(E220,Info!A:A,Info!B:B))</f>
        <v/>
      </c>
      <c r="B220" s="33"/>
      <c r="C220" s="33"/>
      <c r="D220" s="54"/>
      <c r="E220" s="91"/>
      <c r="F220" s="54"/>
      <c r="G220" s="33" t="str">
        <f>IF(ISBLANK(H220),"",_xlfn.XLOOKUP(H220,Info!A:A,Info!B:B))</f>
        <v/>
      </c>
      <c r="H220" s="98"/>
      <c r="I220" s="103"/>
      <c r="J220" s="33"/>
      <c r="K220" s="33"/>
      <c r="L220" s="33"/>
      <c r="M220" s="67"/>
      <c r="N220" s="50"/>
      <c r="P220" s="92"/>
      <c r="AI220" s="91"/>
    </row>
    <row r="221" spans="1:35" s="32" customFormat="1" x14ac:dyDescent="0.25">
      <c r="A221" s="33" t="str">
        <f>IF(ISBLANK(E221),"",_xlfn.XLOOKUP(E221,Info!A:A,Info!B:B))</f>
        <v/>
      </c>
      <c r="B221" s="33"/>
      <c r="C221" s="33"/>
      <c r="D221" s="54"/>
      <c r="E221" s="91"/>
      <c r="F221" s="54"/>
      <c r="G221" s="33" t="str">
        <f>IF(ISBLANK(H221),"",_xlfn.XLOOKUP(H221,Info!A:A,Info!B:B))</f>
        <v/>
      </c>
      <c r="H221" s="98"/>
      <c r="I221" s="103"/>
      <c r="J221" s="33"/>
      <c r="K221" s="33"/>
      <c r="L221" s="33"/>
      <c r="M221" s="67"/>
      <c r="N221" s="50"/>
      <c r="P221" s="92"/>
      <c r="AI221" s="91"/>
    </row>
    <row r="222" spans="1:35" s="32" customFormat="1" x14ac:dyDescent="0.25">
      <c r="A222" s="33" t="str">
        <f>IF(ISBLANK(E222),"",_xlfn.XLOOKUP(E222,Info!A:A,Info!B:B))</f>
        <v/>
      </c>
      <c r="B222" s="33"/>
      <c r="C222" s="33"/>
      <c r="D222" s="54"/>
      <c r="E222" s="91"/>
      <c r="F222" s="54"/>
      <c r="G222" s="33" t="str">
        <f>IF(ISBLANK(H222),"",_xlfn.XLOOKUP(H222,Info!A:A,Info!B:B))</f>
        <v/>
      </c>
      <c r="H222" s="98"/>
      <c r="I222" s="103"/>
      <c r="J222" s="33"/>
      <c r="K222" s="33"/>
      <c r="L222" s="33"/>
      <c r="M222" s="67"/>
      <c r="N222" s="50"/>
      <c r="P222" s="92"/>
      <c r="AI222" s="91"/>
    </row>
    <row r="223" spans="1:35" s="32" customFormat="1" x14ac:dyDescent="0.25">
      <c r="A223" s="33" t="str">
        <f>IF(ISBLANK(E223),"",_xlfn.XLOOKUP(E223,Info!A:A,Info!B:B))</f>
        <v/>
      </c>
      <c r="B223" s="33"/>
      <c r="C223" s="33"/>
      <c r="D223" s="54"/>
      <c r="E223" s="91"/>
      <c r="F223" s="54"/>
      <c r="G223" s="33" t="str">
        <f>IF(ISBLANK(H223),"",_xlfn.XLOOKUP(H223,Info!A:A,Info!B:B))</f>
        <v/>
      </c>
      <c r="H223" s="98"/>
      <c r="I223" s="103"/>
      <c r="J223" s="33"/>
      <c r="K223" s="33"/>
      <c r="L223" s="33"/>
      <c r="M223" s="67"/>
      <c r="N223" s="50"/>
      <c r="P223" s="92"/>
      <c r="AI223" s="91"/>
    </row>
    <row r="224" spans="1:35" s="32" customFormat="1" x14ac:dyDescent="0.25">
      <c r="A224" s="33" t="str">
        <f>IF(ISBLANK(E224),"",_xlfn.XLOOKUP(E224,Info!A:A,Info!B:B))</f>
        <v/>
      </c>
      <c r="B224" s="33"/>
      <c r="C224" s="33"/>
      <c r="D224" s="54"/>
      <c r="E224" s="91"/>
      <c r="F224" s="54"/>
      <c r="G224" s="33" t="str">
        <f>IF(ISBLANK(H224),"",_xlfn.XLOOKUP(H224,Info!A:A,Info!B:B))</f>
        <v/>
      </c>
      <c r="H224" s="98"/>
      <c r="I224" s="103"/>
      <c r="J224" s="33"/>
      <c r="K224" s="33"/>
      <c r="L224" s="33"/>
      <c r="M224" s="67"/>
      <c r="N224" s="50"/>
      <c r="P224" s="92"/>
      <c r="AI224" s="91"/>
    </row>
    <row r="225" spans="1:35" s="32" customFormat="1" x14ac:dyDescent="0.25">
      <c r="A225" s="33" t="str">
        <f>IF(ISBLANK(E225),"",_xlfn.XLOOKUP(E225,Info!A:A,Info!B:B))</f>
        <v/>
      </c>
      <c r="B225" s="33"/>
      <c r="C225" s="33"/>
      <c r="D225" s="54"/>
      <c r="E225" s="91"/>
      <c r="F225" s="54"/>
      <c r="G225" s="33" t="str">
        <f>IF(ISBLANK(H225),"",_xlfn.XLOOKUP(H225,Info!A:A,Info!B:B))</f>
        <v/>
      </c>
      <c r="H225" s="98"/>
      <c r="I225" s="103"/>
      <c r="J225" s="33"/>
      <c r="K225" s="33"/>
      <c r="L225" s="33"/>
      <c r="M225" s="67"/>
      <c r="N225" s="50"/>
      <c r="P225" s="92"/>
      <c r="AI225" s="91"/>
    </row>
    <row r="226" spans="1:35" s="32" customFormat="1" x14ac:dyDescent="0.25">
      <c r="A226" s="33" t="str">
        <f>IF(ISBLANK(E226),"",_xlfn.XLOOKUP(E226,Info!A:A,Info!B:B))</f>
        <v/>
      </c>
      <c r="B226" s="33"/>
      <c r="C226" s="33"/>
      <c r="D226" s="54"/>
      <c r="E226" s="91"/>
      <c r="F226" s="54"/>
      <c r="G226" s="33" t="str">
        <f>IF(ISBLANK(H226),"",_xlfn.XLOOKUP(H226,Info!A:A,Info!B:B))</f>
        <v/>
      </c>
      <c r="H226" s="98"/>
      <c r="I226" s="103"/>
      <c r="J226" s="33"/>
      <c r="K226" s="33"/>
      <c r="L226" s="33"/>
      <c r="M226" s="67"/>
      <c r="N226" s="50"/>
      <c r="P226" s="92"/>
      <c r="AI226" s="91"/>
    </row>
    <row r="227" spans="1:35" s="32" customFormat="1" x14ac:dyDescent="0.25">
      <c r="A227" s="33" t="str">
        <f>IF(ISBLANK(E227),"",_xlfn.XLOOKUP(E227,Info!A:A,Info!B:B))</f>
        <v/>
      </c>
      <c r="B227" s="33"/>
      <c r="C227" s="33"/>
      <c r="D227" s="54"/>
      <c r="E227" s="91"/>
      <c r="F227" s="54"/>
      <c r="G227" s="33" t="str">
        <f>IF(ISBLANK(H227),"",_xlfn.XLOOKUP(H227,Info!A:A,Info!B:B))</f>
        <v/>
      </c>
      <c r="H227" s="98"/>
      <c r="I227" s="103"/>
      <c r="J227" s="33"/>
      <c r="K227" s="33"/>
      <c r="L227" s="33"/>
      <c r="M227" s="67"/>
      <c r="N227" s="50"/>
      <c r="P227" s="92"/>
      <c r="AI227" s="91"/>
    </row>
    <row r="228" spans="1:35" s="32" customFormat="1" x14ac:dyDescent="0.25">
      <c r="A228" s="33" t="str">
        <f>IF(ISBLANK(E228),"",_xlfn.XLOOKUP(E228,Info!A:A,Info!B:B))</f>
        <v/>
      </c>
      <c r="B228" s="33"/>
      <c r="C228" s="33"/>
      <c r="D228" s="54"/>
      <c r="E228" s="91"/>
      <c r="F228" s="54"/>
      <c r="G228" s="33" t="str">
        <f>IF(ISBLANK(H228),"",_xlfn.XLOOKUP(H228,Info!A:A,Info!B:B))</f>
        <v/>
      </c>
      <c r="H228" s="98"/>
      <c r="I228" s="103"/>
      <c r="J228" s="33"/>
      <c r="K228" s="33"/>
      <c r="L228" s="33"/>
      <c r="M228" s="67"/>
      <c r="N228" s="50"/>
      <c r="P228" s="92"/>
      <c r="AI228" s="91"/>
    </row>
    <row r="229" spans="1:35" s="32" customFormat="1" x14ac:dyDescent="0.25">
      <c r="A229" s="33" t="str">
        <f>IF(ISBLANK(E229),"",_xlfn.XLOOKUP(E229,Info!A:A,Info!B:B))</f>
        <v/>
      </c>
      <c r="B229" s="33"/>
      <c r="C229" s="33"/>
      <c r="D229" s="54"/>
      <c r="E229" s="91"/>
      <c r="F229" s="54"/>
      <c r="G229" s="33" t="str">
        <f>IF(ISBLANK(H229),"",_xlfn.XLOOKUP(H229,Info!A:A,Info!B:B))</f>
        <v/>
      </c>
      <c r="H229" s="98"/>
      <c r="I229" s="103"/>
      <c r="J229" s="33"/>
      <c r="K229" s="33"/>
      <c r="L229" s="33"/>
      <c r="M229" s="67"/>
      <c r="N229" s="50"/>
      <c r="P229" s="92"/>
      <c r="AI229" s="91"/>
    </row>
    <row r="230" spans="1:35" s="32" customFormat="1" x14ac:dyDescent="0.25">
      <c r="A230" s="33" t="str">
        <f>IF(ISBLANK(E230),"",_xlfn.XLOOKUP(E230,Info!A:A,Info!B:B))</f>
        <v/>
      </c>
      <c r="B230" s="33"/>
      <c r="C230" s="33"/>
      <c r="D230" s="54"/>
      <c r="E230" s="91"/>
      <c r="F230" s="54"/>
      <c r="G230" s="33" t="str">
        <f>IF(ISBLANK(H230),"",_xlfn.XLOOKUP(H230,Info!A:A,Info!B:B))</f>
        <v/>
      </c>
      <c r="H230" s="98"/>
      <c r="I230" s="103"/>
      <c r="J230" s="33"/>
      <c r="K230" s="33"/>
      <c r="L230" s="33"/>
      <c r="M230" s="67"/>
      <c r="N230" s="50"/>
      <c r="P230" s="92"/>
      <c r="AI230" s="91"/>
    </row>
    <row r="231" spans="1:35" s="32" customFormat="1" x14ac:dyDescent="0.25">
      <c r="A231" s="33" t="str">
        <f>IF(ISBLANK(E231),"",_xlfn.XLOOKUP(E231,Info!A:A,Info!B:B))</f>
        <v/>
      </c>
      <c r="B231" s="33"/>
      <c r="C231" s="33"/>
      <c r="D231" s="54"/>
      <c r="E231" s="91"/>
      <c r="F231" s="54"/>
      <c r="G231" s="33" t="str">
        <f>IF(ISBLANK(H231),"",_xlfn.XLOOKUP(H231,Info!A:A,Info!B:B))</f>
        <v/>
      </c>
      <c r="H231" s="98"/>
      <c r="I231" s="103"/>
      <c r="J231" s="33"/>
      <c r="K231" s="33"/>
      <c r="L231" s="33"/>
      <c r="M231" s="67"/>
      <c r="N231" s="50"/>
      <c r="P231" s="92"/>
      <c r="AI231" s="91"/>
    </row>
    <row r="232" spans="1:35" s="32" customFormat="1" x14ac:dyDescent="0.25">
      <c r="A232" s="33" t="str">
        <f>IF(ISBLANK(E232),"",_xlfn.XLOOKUP(E232,Info!A:A,Info!B:B))</f>
        <v/>
      </c>
      <c r="B232" s="33"/>
      <c r="C232" s="33"/>
      <c r="D232" s="54"/>
      <c r="E232" s="91"/>
      <c r="F232" s="54"/>
      <c r="G232" s="33" t="str">
        <f>IF(ISBLANK(H232),"",_xlfn.XLOOKUP(H232,Info!A:A,Info!B:B))</f>
        <v/>
      </c>
      <c r="H232" s="98"/>
      <c r="I232" s="103"/>
      <c r="J232" s="33"/>
      <c r="K232" s="33"/>
      <c r="L232" s="33"/>
      <c r="M232" s="67"/>
      <c r="N232" s="50"/>
      <c r="P232" s="92"/>
      <c r="AI232" s="91"/>
    </row>
    <row r="233" spans="1:35" s="32" customFormat="1" x14ac:dyDescent="0.25">
      <c r="A233" s="33" t="str">
        <f>IF(ISBLANK(E233),"",_xlfn.XLOOKUP(E233,Info!A:A,Info!B:B))</f>
        <v/>
      </c>
      <c r="B233" s="33"/>
      <c r="C233" s="33"/>
      <c r="D233" s="54"/>
      <c r="E233" s="91"/>
      <c r="F233" s="54"/>
      <c r="G233" s="33" t="str">
        <f>IF(ISBLANK(H233),"",_xlfn.XLOOKUP(H233,Info!A:A,Info!B:B))</f>
        <v/>
      </c>
      <c r="H233" s="98"/>
      <c r="I233" s="103"/>
      <c r="J233" s="33"/>
      <c r="K233" s="33"/>
      <c r="L233" s="33"/>
      <c r="M233" s="67"/>
      <c r="N233" s="50"/>
      <c r="P233" s="92"/>
      <c r="AI233" s="91"/>
    </row>
    <row r="234" spans="1:35" s="32" customFormat="1" x14ac:dyDescent="0.25">
      <c r="A234" s="33" t="str">
        <f>IF(ISBLANK(E234),"",_xlfn.XLOOKUP(E234,Info!A:A,Info!B:B))</f>
        <v/>
      </c>
      <c r="B234" s="33"/>
      <c r="C234" s="33"/>
      <c r="D234" s="54"/>
      <c r="E234" s="91"/>
      <c r="F234" s="54"/>
      <c r="G234" s="33" t="str">
        <f>IF(ISBLANK(H234),"",_xlfn.XLOOKUP(H234,Info!A:A,Info!B:B))</f>
        <v/>
      </c>
      <c r="H234" s="98"/>
      <c r="I234" s="103"/>
      <c r="J234" s="33"/>
      <c r="K234" s="33"/>
      <c r="L234" s="33"/>
      <c r="M234" s="67"/>
      <c r="N234" s="50"/>
      <c r="P234" s="92"/>
      <c r="AI234" s="91"/>
    </row>
    <row r="235" spans="1:35" s="32" customFormat="1" x14ac:dyDescent="0.25">
      <c r="A235" s="33" t="str">
        <f>IF(ISBLANK(E235),"",_xlfn.XLOOKUP(E235,Info!A:A,Info!B:B))</f>
        <v/>
      </c>
      <c r="B235" s="33"/>
      <c r="C235" s="33"/>
      <c r="D235" s="54"/>
      <c r="E235" s="91"/>
      <c r="F235" s="54"/>
      <c r="G235" s="33" t="str">
        <f>IF(ISBLANK(H235),"",_xlfn.XLOOKUP(H235,Info!A:A,Info!B:B))</f>
        <v/>
      </c>
      <c r="H235" s="98"/>
      <c r="I235" s="103"/>
      <c r="J235" s="33"/>
      <c r="K235" s="33"/>
      <c r="L235" s="33"/>
      <c r="M235" s="67"/>
      <c r="N235" s="50"/>
      <c r="P235" s="92"/>
      <c r="AI235" s="91"/>
    </row>
    <row r="236" spans="1:35" s="32" customFormat="1" x14ac:dyDescent="0.25">
      <c r="A236" s="33" t="str">
        <f>IF(ISBLANK(E236),"",_xlfn.XLOOKUP(E236,Info!A:A,Info!B:B))</f>
        <v/>
      </c>
      <c r="B236" s="33"/>
      <c r="C236" s="33"/>
      <c r="D236" s="54"/>
      <c r="E236" s="91"/>
      <c r="F236" s="54"/>
      <c r="G236" s="33" t="str">
        <f>IF(ISBLANK(H236),"",_xlfn.XLOOKUP(H236,Info!A:A,Info!B:B))</f>
        <v/>
      </c>
      <c r="H236" s="98"/>
      <c r="I236" s="103"/>
      <c r="J236" s="33"/>
      <c r="K236" s="33"/>
      <c r="L236" s="33"/>
      <c r="M236" s="67"/>
      <c r="N236" s="50"/>
      <c r="P236" s="92"/>
      <c r="AI236" s="91"/>
    </row>
    <row r="237" spans="1:35" s="32" customFormat="1" x14ac:dyDescent="0.25">
      <c r="A237" s="33" t="str">
        <f>IF(ISBLANK(E237),"",_xlfn.XLOOKUP(E237,Info!A:A,Info!B:B))</f>
        <v/>
      </c>
      <c r="B237" s="33"/>
      <c r="C237" s="33"/>
      <c r="D237" s="54"/>
      <c r="E237" s="91"/>
      <c r="F237" s="54"/>
      <c r="G237" s="33" t="str">
        <f>IF(ISBLANK(H237),"",_xlfn.XLOOKUP(H237,Info!A:A,Info!B:B))</f>
        <v/>
      </c>
      <c r="H237" s="98"/>
      <c r="I237" s="103"/>
      <c r="J237" s="33"/>
      <c r="K237" s="33"/>
      <c r="L237" s="33"/>
      <c r="M237" s="67"/>
      <c r="N237" s="50"/>
      <c r="P237" s="92"/>
      <c r="AI237" s="91"/>
    </row>
    <row r="238" spans="1:35" s="32" customFormat="1" x14ac:dyDescent="0.25">
      <c r="A238" s="33" t="str">
        <f>IF(ISBLANK(E238),"",_xlfn.XLOOKUP(E238,Info!A:A,Info!B:B))</f>
        <v/>
      </c>
      <c r="B238" s="33"/>
      <c r="C238" s="33"/>
      <c r="D238" s="54"/>
      <c r="E238" s="91"/>
      <c r="F238" s="54"/>
      <c r="G238" s="33" t="str">
        <f>IF(ISBLANK(H238),"",_xlfn.XLOOKUP(H238,Info!A:A,Info!B:B))</f>
        <v/>
      </c>
      <c r="H238" s="98"/>
      <c r="I238" s="103"/>
      <c r="J238" s="33"/>
      <c r="K238" s="33"/>
      <c r="L238" s="33"/>
      <c r="M238" s="67"/>
      <c r="N238" s="50"/>
      <c r="P238" s="92"/>
      <c r="AI238" s="91"/>
    </row>
    <row r="239" spans="1:35" s="32" customFormat="1" x14ac:dyDescent="0.25">
      <c r="A239" s="33" t="str">
        <f>IF(ISBLANK(E239),"",_xlfn.XLOOKUP(E239,Info!A:A,Info!B:B))</f>
        <v/>
      </c>
      <c r="B239" s="33"/>
      <c r="C239" s="33"/>
      <c r="D239" s="54"/>
      <c r="E239" s="91"/>
      <c r="F239" s="54"/>
      <c r="G239" s="33" t="str">
        <f>IF(ISBLANK(H239),"",_xlfn.XLOOKUP(H239,Info!A:A,Info!B:B))</f>
        <v/>
      </c>
      <c r="H239" s="98"/>
      <c r="I239" s="103"/>
      <c r="J239" s="33"/>
      <c r="K239" s="33"/>
      <c r="L239" s="33"/>
      <c r="M239" s="67"/>
      <c r="N239" s="50"/>
      <c r="P239" s="92"/>
      <c r="AI239" s="91"/>
    </row>
    <row r="240" spans="1:35" s="32" customFormat="1" x14ac:dyDescent="0.25">
      <c r="A240" s="33" t="str">
        <f>IF(ISBLANK(E240),"",_xlfn.XLOOKUP(E240,Info!A:A,Info!B:B))</f>
        <v/>
      </c>
      <c r="B240" s="33"/>
      <c r="C240" s="33"/>
      <c r="D240" s="54"/>
      <c r="E240" s="91"/>
      <c r="F240" s="54"/>
      <c r="G240" s="33" t="str">
        <f>IF(ISBLANK(H240),"",_xlfn.XLOOKUP(H240,Info!A:A,Info!B:B))</f>
        <v/>
      </c>
      <c r="H240" s="98"/>
      <c r="I240" s="103"/>
      <c r="J240" s="33"/>
      <c r="K240" s="33"/>
      <c r="L240" s="33"/>
      <c r="M240" s="67"/>
      <c r="N240" s="50"/>
      <c r="P240" s="92"/>
      <c r="AI240" s="91"/>
    </row>
    <row r="241" spans="1:35" s="32" customFormat="1" x14ac:dyDescent="0.25">
      <c r="A241" s="33" t="str">
        <f>IF(ISBLANK(E241),"",_xlfn.XLOOKUP(E241,Info!A:A,Info!B:B))</f>
        <v/>
      </c>
      <c r="B241" s="33"/>
      <c r="C241" s="33"/>
      <c r="D241" s="54"/>
      <c r="E241" s="91"/>
      <c r="F241" s="54"/>
      <c r="G241" s="33" t="str">
        <f>IF(ISBLANK(H241),"",_xlfn.XLOOKUP(H241,Info!A:A,Info!B:B))</f>
        <v/>
      </c>
      <c r="H241" s="98"/>
      <c r="I241" s="103"/>
      <c r="J241" s="33"/>
      <c r="K241" s="33"/>
      <c r="L241" s="33"/>
      <c r="M241" s="67"/>
      <c r="N241" s="50"/>
      <c r="P241" s="92"/>
      <c r="AI241" s="91"/>
    </row>
    <row r="242" spans="1:35" s="32" customFormat="1" x14ac:dyDescent="0.25">
      <c r="A242" s="33" t="str">
        <f>IF(ISBLANK(E242),"",_xlfn.XLOOKUP(E242,Info!A:A,Info!B:B))</f>
        <v/>
      </c>
      <c r="B242" s="33"/>
      <c r="C242" s="33"/>
      <c r="D242" s="54"/>
      <c r="E242" s="91"/>
      <c r="F242" s="54"/>
      <c r="G242" s="33" t="str">
        <f>IF(ISBLANK(H242),"",_xlfn.XLOOKUP(H242,Info!A:A,Info!B:B))</f>
        <v/>
      </c>
      <c r="H242" s="98"/>
      <c r="I242" s="103"/>
      <c r="J242" s="33"/>
      <c r="K242" s="33"/>
      <c r="L242" s="33"/>
      <c r="M242" s="67"/>
      <c r="N242" s="50"/>
      <c r="P242" s="92"/>
      <c r="AI242" s="91"/>
    </row>
    <row r="243" spans="1:35" s="32" customFormat="1" x14ac:dyDescent="0.25">
      <c r="A243" s="33" t="str">
        <f>IF(ISBLANK(E243),"",_xlfn.XLOOKUP(E243,Info!A:A,Info!B:B))</f>
        <v/>
      </c>
      <c r="B243" s="33"/>
      <c r="C243" s="33"/>
      <c r="D243" s="54"/>
      <c r="E243" s="91"/>
      <c r="F243" s="54"/>
      <c r="G243" s="33" t="str">
        <f>IF(ISBLANK(H243),"",_xlfn.XLOOKUP(H243,Info!A:A,Info!B:B))</f>
        <v/>
      </c>
      <c r="H243" s="98"/>
      <c r="I243" s="103"/>
      <c r="J243" s="33"/>
      <c r="K243" s="33"/>
      <c r="L243" s="33"/>
      <c r="M243" s="67"/>
      <c r="N243" s="50"/>
      <c r="P243" s="92"/>
      <c r="AI243" s="91"/>
    </row>
    <row r="244" spans="1:35" s="32" customFormat="1" x14ac:dyDescent="0.25">
      <c r="A244" s="33" t="str">
        <f>IF(ISBLANK(E244),"",_xlfn.XLOOKUP(E244,Info!A:A,Info!B:B))</f>
        <v/>
      </c>
      <c r="B244" s="33"/>
      <c r="C244" s="33"/>
      <c r="D244" s="54"/>
      <c r="E244" s="91"/>
      <c r="F244" s="54"/>
      <c r="G244" s="33" t="str">
        <f>IF(ISBLANK(H244),"",_xlfn.XLOOKUP(H244,Info!A:A,Info!B:B))</f>
        <v/>
      </c>
      <c r="H244" s="98"/>
      <c r="I244" s="103"/>
      <c r="J244" s="33"/>
      <c r="K244" s="33"/>
      <c r="L244" s="33"/>
      <c r="M244" s="67"/>
      <c r="N244" s="50"/>
      <c r="P244" s="92"/>
      <c r="AI244" s="91"/>
    </row>
    <row r="245" spans="1:35" s="32" customFormat="1" x14ac:dyDescent="0.25">
      <c r="A245" s="33" t="str">
        <f>IF(ISBLANK(E245),"",_xlfn.XLOOKUP(E245,Info!A:A,Info!B:B))</f>
        <v/>
      </c>
      <c r="B245" s="33"/>
      <c r="C245" s="33"/>
      <c r="D245" s="54"/>
      <c r="E245" s="91"/>
      <c r="F245" s="54"/>
      <c r="G245" s="33" t="str">
        <f>IF(ISBLANK(H245),"",_xlfn.XLOOKUP(H245,Info!A:A,Info!B:B))</f>
        <v/>
      </c>
      <c r="H245" s="98"/>
      <c r="I245" s="103"/>
      <c r="J245" s="33"/>
      <c r="K245" s="33"/>
      <c r="L245" s="33"/>
      <c r="M245" s="67"/>
      <c r="N245" s="50"/>
      <c r="P245" s="92"/>
      <c r="AI245" s="91"/>
    </row>
    <row r="246" spans="1:35" s="32" customFormat="1" x14ac:dyDescent="0.25">
      <c r="A246" s="33" t="str">
        <f>IF(ISBLANK(E246),"",_xlfn.XLOOKUP(E246,Info!A:A,Info!B:B))</f>
        <v/>
      </c>
      <c r="B246" s="33"/>
      <c r="C246" s="33"/>
      <c r="D246" s="54"/>
      <c r="E246" s="91"/>
      <c r="F246" s="54"/>
      <c r="G246" s="33" t="str">
        <f>IF(ISBLANK(H246),"",_xlfn.XLOOKUP(H246,Info!A:A,Info!B:B))</f>
        <v/>
      </c>
      <c r="H246" s="98"/>
      <c r="I246" s="103"/>
      <c r="J246" s="33"/>
      <c r="K246" s="33"/>
      <c r="L246" s="33"/>
      <c r="M246" s="67"/>
      <c r="N246" s="50"/>
      <c r="P246" s="92"/>
      <c r="AI246" s="91"/>
    </row>
    <row r="247" spans="1:35" s="32" customFormat="1" x14ac:dyDescent="0.25">
      <c r="A247" s="33" t="str">
        <f>IF(ISBLANK(E247),"",_xlfn.XLOOKUP(E247,Info!A:A,Info!B:B))</f>
        <v/>
      </c>
      <c r="B247" s="33"/>
      <c r="C247" s="33"/>
      <c r="D247" s="54"/>
      <c r="E247" s="91"/>
      <c r="F247" s="54"/>
      <c r="G247" s="33" t="str">
        <f>IF(ISBLANK(H247),"",_xlfn.XLOOKUP(H247,Info!A:A,Info!B:B))</f>
        <v/>
      </c>
      <c r="H247" s="98"/>
      <c r="I247" s="103"/>
      <c r="J247" s="33"/>
      <c r="K247" s="33"/>
      <c r="L247" s="33"/>
      <c r="M247" s="67"/>
      <c r="N247" s="50"/>
      <c r="P247" s="92"/>
      <c r="AI247" s="91"/>
    </row>
    <row r="248" spans="1:35" s="32" customFormat="1" x14ac:dyDescent="0.25">
      <c r="A248" s="33" t="str">
        <f>IF(ISBLANK(E248),"",_xlfn.XLOOKUP(E248,Info!A:A,Info!B:B))</f>
        <v/>
      </c>
      <c r="B248" s="33"/>
      <c r="C248" s="33"/>
      <c r="D248" s="54"/>
      <c r="E248" s="91"/>
      <c r="F248" s="54"/>
      <c r="G248" s="33" t="str">
        <f>IF(ISBLANK(H248),"",_xlfn.XLOOKUP(H248,Info!A:A,Info!B:B))</f>
        <v/>
      </c>
      <c r="H248" s="98"/>
      <c r="I248" s="103"/>
      <c r="J248" s="33"/>
      <c r="K248" s="33"/>
      <c r="L248" s="33"/>
      <c r="M248" s="67"/>
      <c r="N248" s="50"/>
      <c r="P248" s="92"/>
      <c r="AI248" s="91"/>
    </row>
    <row r="249" spans="1:35" s="32" customFormat="1" x14ac:dyDescent="0.25">
      <c r="A249" s="33" t="str">
        <f>IF(ISBLANK(E249),"",_xlfn.XLOOKUP(E249,Info!A:A,Info!B:B))</f>
        <v/>
      </c>
      <c r="B249" s="33"/>
      <c r="C249" s="33"/>
      <c r="D249" s="54"/>
      <c r="E249" s="91"/>
      <c r="F249" s="54"/>
      <c r="G249" s="33" t="str">
        <f>IF(ISBLANK(H249),"",_xlfn.XLOOKUP(H249,Info!A:A,Info!B:B))</f>
        <v/>
      </c>
      <c r="H249" s="98"/>
      <c r="I249" s="103"/>
      <c r="J249" s="33"/>
      <c r="K249" s="33"/>
      <c r="L249" s="33"/>
      <c r="M249" s="67"/>
      <c r="N249" s="50"/>
      <c r="P249" s="92"/>
      <c r="AI249" s="91"/>
    </row>
    <row r="250" spans="1:35" s="32" customFormat="1" x14ac:dyDescent="0.25">
      <c r="A250" s="33" t="str">
        <f>IF(ISBLANK(E250),"",_xlfn.XLOOKUP(E250,Info!A:A,Info!B:B))</f>
        <v/>
      </c>
      <c r="B250" s="33"/>
      <c r="C250" s="33"/>
      <c r="D250" s="54"/>
      <c r="E250" s="91"/>
      <c r="F250" s="54"/>
      <c r="G250" s="33" t="str">
        <f>IF(ISBLANK(H250),"",_xlfn.XLOOKUP(H250,Info!A:A,Info!B:B))</f>
        <v/>
      </c>
      <c r="H250" s="98"/>
      <c r="I250" s="103"/>
      <c r="J250" s="33"/>
      <c r="K250" s="33"/>
      <c r="L250" s="33"/>
      <c r="M250" s="67"/>
      <c r="N250" s="50"/>
      <c r="P250" s="92"/>
      <c r="AI250" s="91"/>
    </row>
    <row r="251" spans="1:35" s="32" customFormat="1" x14ac:dyDescent="0.25">
      <c r="A251" s="33" t="str">
        <f>IF(ISBLANK(E251),"",_xlfn.XLOOKUP(E251,Info!A:A,Info!B:B))</f>
        <v/>
      </c>
      <c r="B251" s="33"/>
      <c r="C251" s="33"/>
      <c r="D251" s="54"/>
      <c r="E251" s="91"/>
      <c r="F251" s="54"/>
      <c r="G251" s="33" t="str">
        <f>IF(ISBLANK(H251),"",_xlfn.XLOOKUP(H251,Info!A:A,Info!B:B))</f>
        <v/>
      </c>
      <c r="H251" s="98"/>
      <c r="I251" s="103"/>
      <c r="J251" s="33"/>
      <c r="K251" s="33"/>
      <c r="L251" s="33"/>
      <c r="M251" s="67"/>
      <c r="N251" s="50"/>
      <c r="P251" s="92"/>
      <c r="AI251" s="91"/>
    </row>
    <row r="252" spans="1:35" s="32" customFormat="1" x14ac:dyDescent="0.25">
      <c r="A252" s="33" t="str">
        <f>IF(ISBLANK(E252),"",_xlfn.XLOOKUP(E252,Info!A:A,Info!B:B))</f>
        <v/>
      </c>
      <c r="B252" s="33"/>
      <c r="C252" s="33"/>
      <c r="D252" s="54"/>
      <c r="E252" s="91"/>
      <c r="F252" s="54"/>
      <c r="G252" s="33" t="str">
        <f>IF(ISBLANK(H252),"",_xlfn.XLOOKUP(H252,Info!A:A,Info!B:B))</f>
        <v/>
      </c>
      <c r="H252" s="98"/>
      <c r="I252" s="103"/>
      <c r="J252" s="33"/>
      <c r="K252" s="33"/>
      <c r="L252" s="33"/>
      <c r="M252" s="67"/>
      <c r="N252" s="50"/>
      <c r="P252" s="92"/>
      <c r="AI252" s="91"/>
    </row>
    <row r="253" spans="1:35" s="32" customFormat="1" x14ac:dyDescent="0.25">
      <c r="A253" s="33" t="str">
        <f>IF(ISBLANK(E253),"",_xlfn.XLOOKUP(E253,Info!A:A,Info!B:B))</f>
        <v/>
      </c>
      <c r="B253" s="33"/>
      <c r="C253" s="33"/>
      <c r="D253" s="54"/>
      <c r="E253" s="91"/>
      <c r="F253" s="54"/>
      <c r="G253" s="33" t="str">
        <f>IF(ISBLANK(H253),"",_xlfn.XLOOKUP(H253,Info!A:A,Info!B:B))</f>
        <v/>
      </c>
      <c r="H253" s="98"/>
      <c r="I253" s="103"/>
      <c r="J253" s="33"/>
      <c r="K253" s="33"/>
      <c r="L253" s="33"/>
      <c r="M253" s="67"/>
      <c r="N253" s="50"/>
      <c r="P253" s="92"/>
      <c r="AI253" s="91"/>
    </row>
    <row r="254" spans="1:35" s="32" customFormat="1" x14ac:dyDescent="0.25">
      <c r="A254" s="33" t="str">
        <f>IF(ISBLANK(E254),"",_xlfn.XLOOKUP(E254,Info!A:A,Info!B:B))</f>
        <v/>
      </c>
      <c r="B254" s="33"/>
      <c r="C254" s="33"/>
      <c r="D254" s="54"/>
      <c r="E254" s="91"/>
      <c r="F254" s="54"/>
      <c r="G254" s="33" t="str">
        <f>IF(ISBLANK(H254),"",_xlfn.XLOOKUP(H254,Info!A:A,Info!B:B))</f>
        <v/>
      </c>
      <c r="H254" s="98"/>
      <c r="I254" s="103"/>
      <c r="J254" s="33"/>
      <c r="K254" s="33"/>
      <c r="L254" s="33"/>
      <c r="M254" s="67"/>
      <c r="N254" s="50"/>
      <c r="P254" s="92"/>
      <c r="AI254" s="91"/>
    </row>
    <row r="255" spans="1:35" s="32" customFormat="1" x14ac:dyDescent="0.25">
      <c r="A255" s="33" t="str">
        <f>IF(ISBLANK(E255),"",_xlfn.XLOOKUP(E255,Info!A:A,Info!B:B))</f>
        <v/>
      </c>
      <c r="B255" s="33"/>
      <c r="C255" s="33"/>
      <c r="D255" s="54"/>
      <c r="E255" s="91"/>
      <c r="F255" s="54"/>
      <c r="G255" s="33" t="str">
        <f>IF(ISBLANK(H255),"",_xlfn.XLOOKUP(H255,Info!A:A,Info!B:B))</f>
        <v/>
      </c>
      <c r="H255" s="98"/>
      <c r="I255" s="103"/>
      <c r="J255" s="33"/>
      <c r="K255" s="33"/>
      <c r="L255" s="33"/>
      <c r="M255" s="67"/>
      <c r="N255" s="50"/>
      <c r="P255" s="92"/>
      <c r="AI255" s="91"/>
    </row>
    <row r="256" spans="1:35" s="32" customFormat="1" x14ac:dyDescent="0.25">
      <c r="A256" s="33" t="str">
        <f>IF(ISBLANK(E256),"",_xlfn.XLOOKUP(E256,Info!A:A,Info!B:B))</f>
        <v/>
      </c>
      <c r="B256" s="33"/>
      <c r="C256" s="33"/>
      <c r="D256" s="54"/>
      <c r="E256" s="91"/>
      <c r="F256" s="54"/>
      <c r="G256" s="33" t="str">
        <f>IF(ISBLANK(H256),"",_xlfn.XLOOKUP(H256,Info!A:A,Info!B:B))</f>
        <v/>
      </c>
      <c r="H256" s="98"/>
      <c r="I256" s="103"/>
      <c r="J256" s="33"/>
      <c r="K256" s="33"/>
      <c r="L256" s="33"/>
      <c r="M256" s="67"/>
      <c r="N256" s="50"/>
      <c r="P256" s="92"/>
      <c r="AI256" s="91"/>
    </row>
    <row r="257" spans="1:35" s="32" customFormat="1" x14ac:dyDescent="0.25">
      <c r="A257" s="33" t="str">
        <f>IF(ISBLANK(E257),"",_xlfn.XLOOKUP(E257,Info!A:A,Info!B:B))</f>
        <v/>
      </c>
      <c r="B257" s="33"/>
      <c r="C257" s="33"/>
      <c r="D257" s="54"/>
      <c r="E257" s="91"/>
      <c r="F257" s="54"/>
      <c r="G257" s="33" t="str">
        <f>IF(ISBLANK(H257),"",_xlfn.XLOOKUP(H257,Info!A:A,Info!B:B))</f>
        <v/>
      </c>
      <c r="H257" s="98"/>
      <c r="I257" s="103"/>
      <c r="J257" s="33"/>
      <c r="K257" s="33"/>
      <c r="L257" s="33"/>
      <c r="M257" s="67"/>
      <c r="N257" s="50"/>
      <c r="P257" s="92"/>
      <c r="AI257" s="91"/>
    </row>
    <row r="258" spans="1:35" s="32" customFormat="1" x14ac:dyDescent="0.25">
      <c r="A258" s="33" t="str">
        <f>IF(ISBLANK(E258),"",_xlfn.XLOOKUP(E258,Info!A:A,Info!B:B))</f>
        <v/>
      </c>
      <c r="B258" s="33"/>
      <c r="C258" s="33"/>
      <c r="D258" s="54"/>
      <c r="E258" s="91"/>
      <c r="F258" s="54"/>
      <c r="G258" s="33" t="str">
        <f>IF(ISBLANK(H258),"",_xlfn.XLOOKUP(H258,Info!A:A,Info!B:B))</f>
        <v/>
      </c>
      <c r="H258" s="98"/>
      <c r="I258" s="103"/>
      <c r="J258" s="33"/>
      <c r="K258" s="33"/>
      <c r="L258" s="33"/>
      <c r="M258" s="67"/>
      <c r="N258" s="50"/>
      <c r="P258" s="92"/>
      <c r="AI258" s="91"/>
    </row>
    <row r="259" spans="1:35" s="32" customFormat="1" x14ac:dyDescent="0.25">
      <c r="A259" s="33" t="str">
        <f>IF(ISBLANK(E259),"",_xlfn.XLOOKUP(E259,Info!A:A,Info!B:B))</f>
        <v/>
      </c>
      <c r="B259" s="33"/>
      <c r="C259" s="33"/>
      <c r="D259" s="54"/>
      <c r="E259" s="91"/>
      <c r="F259" s="54"/>
      <c r="G259" s="33" t="str">
        <f>IF(ISBLANK(H259),"",_xlfn.XLOOKUP(H259,Info!A:A,Info!B:B))</f>
        <v/>
      </c>
      <c r="H259" s="98"/>
      <c r="I259" s="103"/>
      <c r="J259" s="33"/>
      <c r="K259" s="33"/>
      <c r="L259" s="33"/>
      <c r="M259" s="67"/>
      <c r="N259" s="50"/>
      <c r="P259" s="92"/>
      <c r="AI259" s="91"/>
    </row>
    <row r="260" spans="1:35" s="32" customFormat="1" x14ac:dyDescent="0.25">
      <c r="A260" s="33" t="str">
        <f>IF(ISBLANK(E260),"",_xlfn.XLOOKUP(E260,Info!A:A,Info!B:B))</f>
        <v/>
      </c>
      <c r="B260" s="33"/>
      <c r="C260" s="33"/>
      <c r="D260" s="54"/>
      <c r="E260" s="91"/>
      <c r="F260" s="54"/>
      <c r="G260" s="33" t="str">
        <f>IF(ISBLANK(H260),"",_xlfn.XLOOKUP(H260,Info!A:A,Info!B:B))</f>
        <v/>
      </c>
      <c r="H260" s="98"/>
      <c r="I260" s="103"/>
      <c r="J260" s="33"/>
      <c r="K260" s="33"/>
      <c r="L260" s="33"/>
      <c r="M260" s="67"/>
      <c r="N260" s="50"/>
      <c r="P260" s="92"/>
      <c r="AI260" s="91"/>
    </row>
    <row r="261" spans="1:35" s="32" customFormat="1" x14ac:dyDescent="0.25">
      <c r="A261" s="33" t="str">
        <f>IF(ISBLANK(E261),"",_xlfn.XLOOKUP(E261,Info!A:A,Info!B:B))</f>
        <v/>
      </c>
      <c r="B261" s="33"/>
      <c r="C261" s="33"/>
      <c r="D261" s="54"/>
      <c r="E261" s="91"/>
      <c r="F261" s="54"/>
      <c r="G261" s="33" t="str">
        <f>IF(ISBLANK(H261),"",_xlfn.XLOOKUP(H261,Info!A:A,Info!B:B))</f>
        <v/>
      </c>
      <c r="H261" s="98"/>
      <c r="I261" s="103"/>
      <c r="J261" s="33"/>
      <c r="K261" s="33"/>
      <c r="L261" s="33"/>
      <c r="M261" s="67"/>
      <c r="N261" s="50"/>
      <c r="P261" s="92"/>
      <c r="AI261" s="91"/>
    </row>
    <row r="262" spans="1:35" s="32" customFormat="1" x14ac:dyDescent="0.25">
      <c r="A262" s="33" t="str">
        <f>IF(ISBLANK(E262),"",_xlfn.XLOOKUP(E262,Info!A:A,Info!B:B))</f>
        <v/>
      </c>
      <c r="B262" s="33"/>
      <c r="C262" s="33"/>
      <c r="D262" s="54"/>
      <c r="E262" s="91"/>
      <c r="F262" s="54"/>
      <c r="G262" s="33" t="str">
        <f>IF(ISBLANK(H262),"",_xlfn.XLOOKUP(H262,Info!A:A,Info!B:B))</f>
        <v/>
      </c>
      <c r="H262" s="98"/>
      <c r="I262" s="103"/>
      <c r="J262" s="33"/>
      <c r="K262" s="33"/>
      <c r="L262" s="33"/>
      <c r="M262" s="67"/>
      <c r="N262" s="50"/>
      <c r="P262" s="92"/>
      <c r="AI262" s="91"/>
    </row>
    <row r="263" spans="1:35" s="32" customFormat="1" x14ac:dyDescent="0.25">
      <c r="A263" s="33" t="str">
        <f>IF(ISBLANK(E263),"",_xlfn.XLOOKUP(E263,Info!A:A,Info!B:B))</f>
        <v/>
      </c>
      <c r="B263" s="33"/>
      <c r="C263" s="33"/>
      <c r="D263" s="54"/>
      <c r="E263" s="91"/>
      <c r="F263" s="54"/>
      <c r="G263" s="33" t="str">
        <f>IF(ISBLANK(H263),"",_xlfn.XLOOKUP(H263,Info!A:A,Info!B:B))</f>
        <v/>
      </c>
      <c r="H263" s="98"/>
      <c r="I263" s="103"/>
      <c r="J263" s="33"/>
      <c r="K263" s="33"/>
      <c r="L263" s="33"/>
      <c r="M263" s="67"/>
      <c r="N263" s="50"/>
      <c r="P263" s="92"/>
      <c r="AI263" s="91"/>
    </row>
    <row r="264" spans="1:35" s="32" customFormat="1" x14ac:dyDescent="0.25">
      <c r="A264" s="33" t="str">
        <f>IF(ISBLANK(E264),"",_xlfn.XLOOKUP(E264,Info!A:A,Info!B:B))</f>
        <v/>
      </c>
      <c r="B264" s="33"/>
      <c r="C264" s="33"/>
      <c r="D264" s="54"/>
      <c r="E264" s="91"/>
      <c r="F264" s="54"/>
      <c r="G264" s="33" t="str">
        <f>IF(ISBLANK(H264),"",_xlfn.XLOOKUP(H264,Info!A:A,Info!B:B))</f>
        <v/>
      </c>
      <c r="H264" s="98"/>
      <c r="I264" s="103"/>
      <c r="J264" s="33"/>
      <c r="K264" s="33"/>
      <c r="L264" s="33"/>
      <c r="M264" s="67"/>
      <c r="N264" s="50"/>
      <c r="P264" s="92"/>
      <c r="AI264" s="91"/>
    </row>
    <row r="265" spans="1:35" s="32" customFormat="1" x14ac:dyDescent="0.25">
      <c r="A265" s="33" t="str">
        <f>IF(ISBLANK(E265),"",_xlfn.XLOOKUP(E265,Info!A:A,Info!B:B))</f>
        <v/>
      </c>
      <c r="B265" s="33"/>
      <c r="C265" s="33"/>
      <c r="D265" s="54"/>
      <c r="E265" s="91"/>
      <c r="F265" s="54"/>
      <c r="G265" s="33" t="str">
        <f>IF(ISBLANK(H265),"",_xlfn.XLOOKUP(H265,Info!A:A,Info!B:B))</f>
        <v/>
      </c>
      <c r="H265" s="98"/>
      <c r="I265" s="103"/>
      <c r="J265" s="33"/>
      <c r="K265" s="33"/>
      <c r="L265" s="33"/>
      <c r="M265" s="67"/>
      <c r="N265" s="50"/>
      <c r="P265" s="92"/>
      <c r="AI265" s="91"/>
    </row>
    <row r="266" spans="1:35" s="32" customFormat="1" x14ac:dyDescent="0.25">
      <c r="A266" s="33" t="str">
        <f>IF(ISBLANK(E266),"",_xlfn.XLOOKUP(E266,Info!A:A,Info!B:B))</f>
        <v/>
      </c>
      <c r="B266" s="33"/>
      <c r="C266" s="33"/>
      <c r="D266" s="54"/>
      <c r="E266" s="91"/>
      <c r="F266" s="54"/>
      <c r="G266" s="33" t="str">
        <f>IF(ISBLANK(H266),"",_xlfn.XLOOKUP(H266,Info!A:A,Info!B:B))</f>
        <v/>
      </c>
      <c r="H266" s="98"/>
      <c r="I266" s="103"/>
      <c r="J266" s="33"/>
      <c r="K266" s="33"/>
      <c r="L266" s="33"/>
      <c r="M266" s="67"/>
      <c r="N266" s="50"/>
      <c r="P266" s="92"/>
      <c r="AI266" s="91"/>
    </row>
    <row r="267" spans="1:35" s="32" customFormat="1" x14ac:dyDescent="0.25">
      <c r="A267" s="33" t="str">
        <f>IF(ISBLANK(E267),"",_xlfn.XLOOKUP(E267,Info!A:A,Info!B:B))</f>
        <v/>
      </c>
      <c r="B267" s="33"/>
      <c r="C267" s="33"/>
      <c r="D267" s="54"/>
      <c r="E267" s="91"/>
      <c r="F267" s="54"/>
      <c r="G267" s="33" t="str">
        <f>IF(ISBLANK(H267),"",_xlfn.XLOOKUP(H267,Info!A:A,Info!B:B))</f>
        <v/>
      </c>
      <c r="H267" s="98"/>
      <c r="I267" s="103"/>
      <c r="J267" s="33"/>
      <c r="K267" s="33"/>
      <c r="L267" s="33"/>
      <c r="M267" s="67"/>
      <c r="N267" s="50"/>
      <c r="P267" s="92"/>
      <c r="AI267" s="91"/>
    </row>
    <row r="268" spans="1:35" s="32" customFormat="1" x14ac:dyDescent="0.25">
      <c r="A268" s="33" t="str">
        <f>IF(ISBLANK(E268),"",_xlfn.XLOOKUP(E268,Info!A:A,Info!B:B))</f>
        <v/>
      </c>
      <c r="B268" s="33"/>
      <c r="C268" s="33"/>
      <c r="D268" s="54"/>
      <c r="E268" s="91"/>
      <c r="F268" s="54"/>
      <c r="G268" s="33" t="str">
        <f>IF(ISBLANK(H268),"",_xlfn.XLOOKUP(H268,Info!A:A,Info!B:B))</f>
        <v/>
      </c>
      <c r="H268" s="98"/>
      <c r="I268" s="103"/>
      <c r="J268" s="33"/>
      <c r="K268" s="33"/>
      <c r="L268" s="33"/>
      <c r="M268" s="67"/>
      <c r="N268" s="50"/>
      <c r="P268" s="92"/>
      <c r="AI268" s="91"/>
    </row>
    <row r="269" spans="1:35" s="32" customFormat="1" x14ac:dyDescent="0.25">
      <c r="A269" s="33" t="str">
        <f>IF(ISBLANK(E269),"",_xlfn.XLOOKUP(E269,Info!A:A,Info!B:B))</f>
        <v/>
      </c>
      <c r="B269" s="33"/>
      <c r="C269" s="33"/>
      <c r="D269" s="54"/>
      <c r="E269" s="91"/>
      <c r="F269" s="54"/>
      <c r="G269" s="33" t="str">
        <f>IF(ISBLANK(H269),"",_xlfn.XLOOKUP(H269,Info!A:A,Info!B:B))</f>
        <v/>
      </c>
      <c r="H269" s="98"/>
      <c r="I269" s="103"/>
      <c r="J269" s="33"/>
      <c r="K269" s="33"/>
      <c r="L269" s="33"/>
      <c r="M269" s="67"/>
      <c r="N269" s="50"/>
      <c r="P269" s="92"/>
      <c r="AI269" s="91"/>
    </row>
    <row r="270" spans="1:35" s="32" customFormat="1" x14ac:dyDescent="0.25">
      <c r="A270" s="33" t="str">
        <f>IF(ISBLANK(E270),"",_xlfn.XLOOKUP(E270,Info!A:A,Info!B:B))</f>
        <v/>
      </c>
      <c r="B270" s="33"/>
      <c r="C270" s="33"/>
      <c r="D270" s="54"/>
      <c r="E270" s="91"/>
      <c r="F270" s="54"/>
      <c r="G270" s="33" t="str">
        <f>IF(ISBLANK(H270),"",_xlfn.XLOOKUP(H270,Info!A:A,Info!B:B))</f>
        <v/>
      </c>
      <c r="H270" s="98"/>
      <c r="I270" s="103"/>
      <c r="J270" s="33"/>
      <c r="K270" s="33"/>
      <c r="L270" s="33"/>
      <c r="M270" s="67"/>
      <c r="N270" s="50"/>
      <c r="P270" s="92"/>
      <c r="AI270" s="91"/>
    </row>
    <row r="271" spans="1:35" s="32" customFormat="1" x14ac:dyDescent="0.25">
      <c r="A271" s="33" t="str">
        <f>IF(ISBLANK(E271),"",_xlfn.XLOOKUP(E271,Info!A:A,Info!B:B))</f>
        <v/>
      </c>
      <c r="B271" s="33"/>
      <c r="C271" s="33"/>
      <c r="D271" s="54"/>
      <c r="E271" s="91"/>
      <c r="F271" s="54"/>
      <c r="G271" s="33" t="str">
        <f>IF(ISBLANK(H271),"",_xlfn.XLOOKUP(H271,Info!A:A,Info!B:B))</f>
        <v/>
      </c>
      <c r="H271" s="98"/>
      <c r="I271" s="103"/>
      <c r="J271" s="33"/>
      <c r="K271" s="33"/>
      <c r="L271" s="33"/>
      <c r="M271" s="67"/>
      <c r="N271" s="50"/>
      <c r="P271" s="92"/>
      <c r="AI271" s="91"/>
    </row>
    <row r="272" spans="1:35" s="32" customFormat="1" x14ac:dyDescent="0.25">
      <c r="A272" s="33" t="str">
        <f>IF(ISBLANK(E272),"",_xlfn.XLOOKUP(E272,Info!A:A,Info!B:B))</f>
        <v/>
      </c>
      <c r="B272" s="33"/>
      <c r="C272" s="33"/>
      <c r="D272" s="54"/>
      <c r="E272" s="91"/>
      <c r="F272" s="54"/>
      <c r="G272" s="33" t="str">
        <f>IF(ISBLANK(H272),"",_xlfn.XLOOKUP(H272,Info!A:A,Info!B:B))</f>
        <v/>
      </c>
      <c r="H272" s="98"/>
      <c r="I272" s="103"/>
      <c r="J272" s="33"/>
      <c r="K272" s="33"/>
      <c r="L272" s="33"/>
      <c r="M272" s="67"/>
      <c r="N272" s="50"/>
      <c r="P272" s="92"/>
      <c r="AI272" s="91"/>
    </row>
    <row r="273" spans="1:35" s="32" customFormat="1" x14ac:dyDescent="0.25">
      <c r="A273" s="33" t="str">
        <f>IF(ISBLANK(E273),"",_xlfn.XLOOKUP(E273,Info!A:A,Info!B:B))</f>
        <v/>
      </c>
      <c r="B273" s="33"/>
      <c r="C273" s="33"/>
      <c r="D273" s="54"/>
      <c r="E273" s="91"/>
      <c r="F273" s="54"/>
      <c r="G273" s="33" t="str">
        <f>IF(ISBLANK(H273),"",_xlfn.XLOOKUP(H273,Info!A:A,Info!B:B))</f>
        <v/>
      </c>
      <c r="H273" s="98"/>
      <c r="I273" s="103"/>
      <c r="J273" s="33"/>
      <c r="K273" s="33"/>
      <c r="L273" s="33"/>
      <c r="M273" s="67"/>
      <c r="N273" s="50"/>
      <c r="P273" s="92"/>
      <c r="AI273" s="91"/>
    </row>
    <row r="274" spans="1:35" s="32" customFormat="1" x14ac:dyDescent="0.25">
      <c r="A274" s="33" t="str">
        <f>IF(ISBLANK(E274),"",_xlfn.XLOOKUP(E274,Info!A:A,Info!B:B))</f>
        <v/>
      </c>
      <c r="B274" s="33"/>
      <c r="C274" s="33"/>
      <c r="D274" s="54"/>
      <c r="E274" s="91"/>
      <c r="F274" s="54"/>
      <c r="G274" s="33" t="str">
        <f>IF(ISBLANK(H274),"",_xlfn.XLOOKUP(H274,Info!A:A,Info!B:B))</f>
        <v/>
      </c>
      <c r="H274" s="98"/>
      <c r="I274" s="103"/>
      <c r="J274" s="33"/>
      <c r="K274" s="33"/>
      <c r="L274" s="33"/>
      <c r="M274" s="67"/>
      <c r="N274" s="50"/>
      <c r="P274" s="92"/>
      <c r="AI274" s="91"/>
    </row>
    <row r="275" spans="1:35" s="32" customFormat="1" x14ac:dyDescent="0.25">
      <c r="A275" s="33" t="str">
        <f>IF(ISBLANK(E275),"",_xlfn.XLOOKUP(E275,Info!A:A,Info!B:B))</f>
        <v/>
      </c>
      <c r="B275" s="33"/>
      <c r="C275" s="33"/>
      <c r="D275" s="54"/>
      <c r="E275" s="91"/>
      <c r="F275" s="54"/>
      <c r="G275" s="33" t="str">
        <f>IF(ISBLANK(H275),"",_xlfn.XLOOKUP(H275,Info!A:A,Info!B:B))</f>
        <v/>
      </c>
      <c r="H275" s="98"/>
      <c r="I275" s="103"/>
      <c r="J275" s="33"/>
      <c r="K275" s="33"/>
      <c r="L275" s="33"/>
      <c r="M275" s="67"/>
      <c r="N275" s="50"/>
      <c r="P275" s="92"/>
      <c r="AI275" s="91"/>
    </row>
    <row r="276" spans="1:35" s="32" customFormat="1" x14ac:dyDescent="0.25">
      <c r="A276" s="33" t="str">
        <f>IF(ISBLANK(E276),"",_xlfn.XLOOKUP(E276,Info!A:A,Info!B:B))</f>
        <v/>
      </c>
      <c r="B276" s="33"/>
      <c r="C276" s="33"/>
      <c r="D276" s="54"/>
      <c r="E276" s="91"/>
      <c r="F276" s="54"/>
      <c r="G276" s="33" t="str">
        <f>IF(ISBLANK(H276),"",_xlfn.XLOOKUP(H276,Info!A:A,Info!B:B))</f>
        <v/>
      </c>
      <c r="H276" s="98"/>
      <c r="I276" s="103"/>
      <c r="J276" s="33"/>
      <c r="K276" s="33"/>
      <c r="L276" s="33"/>
      <c r="M276" s="67"/>
      <c r="N276" s="50"/>
      <c r="P276" s="92"/>
      <c r="AI276" s="91"/>
    </row>
    <row r="277" spans="1:35" s="32" customFormat="1" x14ac:dyDescent="0.25">
      <c r="A277" s="33" t="str">
        <f>IF(ISBLANK(E277),"",_xlfn.XLOOKUP(E277,Info!A:A,Info!B:B))</f>
        <v/>
      </c>
      <c r="B277" s="33"/>
      <c r="C277" s="33"/>
      <c r="D277" s="54"/>
      <c r="E277" s="91"/>
      <c r="F277" s="54"/>
      <c r="G277" s="33" t="str">
        <f>IF(ISBLANK(H277),"",_xlfn.XLOOKUP(H277,Info!A:A,Info!B:B))</f>
        <v/>
      </c>
      <c r="H277" s="98"/>
      <c r="I277" s="103"/>
      <c r="J277" s="33"/>
      <c r="K277" s="33"/>
      <c r="L277" s="33"/>
      <c r="M277" s="67"/>
      <c r="N277" s="50"/>
      <c r="P277" s="92"/>
      <c r="AI277" s="91"/>
    </row>
    <row r="278" spans="1:35" s="32" customFormat="1" x14ac:dyDescent="0.25">
      <c r="A278" s="33" t="str">
        <f>IF(ISBLANK(E278),"",_xlfn.XLOOKUP(E278,Info!A:A,Info!B:B))</f>
        <v/>
      </c>
      <c r="B278" s="33"/>
      <c r="C278" s="33"/>
      <c r="D278" s="54"/>
      <c r="E278" s="91"/>
      <c r="F278" s="54"/>
      <c r="G278" s="33" t="str">
        <f>IF(ISBLANK(H278),"",_xlfn.XLOOKUP(H278,Info!A:A,Info!B:B))</f>
        <v/>
      </c>
      <c r="H278" s="98"/>
      <c r="I278" s="103"/>
      <c r="J278" s="33"/>
      <c r="K278" s="33"/>
      <c r="L278" s="33"/>
      <c r="M278" s="67"/>
      <c r="N278" s="50"/>
      <c r="P278" s="92"/>
      <c r="AI278" s="91"/>
    </row>
    <row r="279" spans="1:35" s="32" customFormat="1" x14ac:dyDescent="0.25">
      <c r="A279" s="33" t="str">
        <f>IF(ISBLANK(E279),"",_xlfn.XLOOKUP(E279,Info!A:A,Info!B:B))</f>
        <v/>
      </c>
      <c r="B279" s="33"/>
      <c r="C279" s="33"/>
      <c r="D279" s="54"/>
      <c r="E279" s="91"/>
      <c r="F279" s="54"/>
      <c r="G279" s="33" t="str">
        <f>IF(ISBLANK(H279),"",_xlfn.XLOOKUP(H279,Info!A:A,Info!B:B))</f>
        <v/>
      </c>
      <c r="H279" s="98"/>
      <c r="I279" s="103"/>
      <c r="J279" s="33"/>
      <c r="K279" s="33"/>
      <c r="L279" s="33"/>
      <c r="M279" s="67"/>
      <c r="N279" s="50"/>
      <c r="P279" s="92"/>
      <c r="AI279" s="91"/>
    </row>
    <row r="280" spans="1:35" s="32" customFormat="1" x14ac:dyDescent="0.25">
      <c r="A280" s="33" t="str">
        <f>IF(ISBLANK(E280),"",_xlfn.XLOOKUP(E280,Info!A:A,Info!B:B))</f>
        <v/>
      </c>
      <c r="B280" s="33"/>
      <c r="C280" s="33"/>
      <c r="D280" s="54"/>
      <c r="E280" s="91"/>
      <c r="F280" s="54"/>
      <c r="G280" s="33" t="str">
        <f>IF(ISBLANK(H280),"",_xlfn.XLOOKUP(H280,Info!A:A,Info!B:B))</f>
        <v/>
      </c>
      <c r="H280" s="98"/>
      <c r="I280" s="103"/>
      <c r="J280" s="33"/>
      <c r="K280" s="33"/>
      <c r="L280" s="33"/>
      <c r="M280" s="67"/>
      <c r="N280" s="50"/>
      <c r="P280" s="92"/>
      <c r="AI280" s="91"/>
    </row>
    <row r="281" spans="1:35" s="32" customFormat="1" x14ac:dyDescent="0.25">
      <c r="A281" s="33" t="str">
        <f>IF(ISBLANK(E281),"",_xlfn.XLOOKUP(E281,Info!A:A,Info!B:B))</f>
        <v/>
      </c>
      <c r="B281" s="33"/>
      <c r="C281" s="33"/>
      <c r="D281" s="54"/>
      <c r="E281" s="91"/>
      <c r="F281" s="54"/>
      <c r="G281" s="33" t="str">
        <f>IF(ISBLANK(H281),"",_xlfn.XLOOKUP(H281,Info!A:A,Info!B:B))</f>
        <v/>
      </c>
      <c r="H281" s="98"/>
      <c r="I281" s="103"/>
      <c r="J281" s="33"/>
      <c r="K281" s="33"/>
      <c r="L281" s="33"/>
      <c r="M281" s="67"/>
      <c r="N281" s="50"/>
      <c r="P281" s="92"/>
      <c r="AI281" s="91"/>
    </row>
    <row r="282" spans="1:35" s="32" customFormat="1" x14ac:dyDescent="0.25">
      <c r="A282" s="33" t="str">
        <f>IF(ISBLANK(E282),"",_xlfn.XLOOKUP(E282,Info!A:A,Info!B:B))</f>
        <v/>
      </c>
      <c r="B282" s="33"/>
      <c r="C282" s="33"/>
      <c r="D282" s="54"/>
      <c r="E282" s="91"/>
      <c r="F282" s="54"/>
      <c r="G282" s="33" t="str">
        <f>IF(ISBLANK(H282),"",_xlfn.XLOOKUP(H282,Info!A:A,Info!B:B))</f>
        <v/>
      </c>
      <c r="H282" s="98"/>
      <c r="I282" s="103"/>
      <c r="J282" s="33"/>
      <c r="K282" s="33"/>
      <c r="L282" s="33"/>
      <c r="M282" s="67"/>
      <c r="N282" s="50"/>
      <c r="P282" s="92"/>
      <c r="AI282" s="91"/>
    </row>
    <row r="283" spans="1:35" s="32" customFormat="1" x14ac:dyDescent="0.25">
      <c r="A283" s="33" t="str">
        <f>IF(ISBLANK(E283),"",_xlfn.XLOOKUP(E283,Info!A:A,Info!B:B))</f>
        <v/>
      </c>
      <c r="B283" s="33"/>
      <c r="C283" s="33"/>
      <c r="D283" s="54"/>
      <c r="E283" s="91"/>
      <c r="F283" s="54"/>
      <c r="G283" s="33" t="str">
        <f>IF(ISBLANK(H283),"",_xlfn.XLOOKUP(H283,Info!A:A,Info!B:B))</f>
        <v/>
      </c>
      <c r="H283" s="98"/>
      <c r="I283" s="103"/>
      <c r="J283" s="33"/>
      <c r="K283" s="33"/>
      <c r="L283" s="33"/>
      <c r="M283" s="67"/>
      <c r="N283" s="50"/>
      <c r="P283" s="92"/>
      <c r="AI283" s="91"/>
    </row>
    <row r="284" spans="1:35" s="32" customFormat="1" x14ac:dyDescent="0.25">
      <c r="A284" s="33" t="str">
        <f>IF(ISBLANK(E284),"",_xlfn.XLOOKUP(E284,Info!A:A,Info!B:B))</f>
        <v/>
      </c>
      <c r="B284" s="33"/>
      <c r="C284" s="33"/>
      <c r="D284" s="54"/>
      <c r="E284" s="91"/>
      <c r="F284" s="54"/>
      <c r="G284" s="33" t="str">
        <f>IF(ISBLANK(H284),"",_xlfn.XLOOKUP(H284,Info!A:A,Info!B:B))</f>
        <v/>
      </c>
      <c r="H284" s="98"/>
      <c r="I284" s="103"/>
      <c r="J284" s="33"/>
      <c r="K284" s="33"/>
      <c r="L284" s="33"/>
      <c r="M284" s="67"/>
      <c r="N284" s="50"/>
      <c r="P284" s="92"/>
      <c r="AI284" s="91"/>
    </row>
    <row r="285" spans="1:35" s="32" customFormat="1" x14ac:dyDescent="0.25">
      <c r="A285" s="33" t="str">
        <f>IF(ISBLANK(E285),"",_xlfn.XLOOKUP(E285,Info!A:A,Info!B:B))</f>
        <v/>
      </c>
      <c r="B285" s="33"/>
      <c r="C285" s="33"/>
      <c r="D285" s="54"/>
      <c r="E285" s="91"/>
      <c r="F285" s="54"/>
      <c r="G285" s="33" t="str">
        <f>IF(ISBLANK(H285),"",_xlfn.XLOOKUP(H285,Info!A:A,Info!B:B))</f>
        <v/>
      </c>
      <c r="H285" s="98"/>
      <c r="I285" s="103"/>
      <c r="J285" s="33"/>
      <c r="K285" s="33"/>
      <c r="L285" s="33"/>
      <c r="M285" s="67"/>
      <c r="N285" s="50"/>
      <c r="P285" s="92"/>
      <c r="AI285" s="91"/>
    </row>
    <row r="286" spans="1:35" s="32" customFormat="1" x14ac:dyDescent="0.25">
      <c r="A286" s="33" t="str">
        <f>IF(ISBLANK(E286),"",_xlfn.XLOOKUP(E286,Info!A:A,Info!B:B))</f>
        <v/>
      </c>
      <c r="B286" s="33"/>
      <c r="C286" s="33"/>
      <c r="D286" s="54"/>
      <c r="E286" s="91"/>
      <c r="F286" s="54"/>
      <c r="G286" s="33" t="str">
        <f>IF(ISBLANK(H286),"",_xlfn.XLOOKUP(H286,Info!A:A,Info!B:B))</f>
        <v/>
      </c>
      <c r="H286" s="98"/>
      <c r="I286" s="103"/>
      <c r="J286" s="33"/>
      <c r="K286" s="33"/>
      <c r="L286" s="33"/>
      <c r="M286" s="67"/>
      <c r="N286" s="50"/>
      <c r="P286" s="92"/>
      <c r="AI286" s="91"/>
    </row>
    <row r="287" spans="1:35" s="32" customFormat="1" x14ac:dyDescent="0.25">
      <c r="A287" s="33" t="str">
        <f>IF(ISBLANK(E287),"",_xlfn.XLOOKUP(E287,Info!A:A,Info!B:B))</f>
        <v/>
      </c>
      <c r="B287" s="33"/>
      <c r="C287" s="33"/>
      <c r="D287" s="54"/>
      <c r="E287" s="91"/>
      <c r="F287" s="54"/>
      <c r="G287" s="33" t="str">
        <f>IF(ISBLANK(H287),"",_xlfn.XLOOKUP(H287,Info!A:A,Info!B:B))</f>
        <v/>
      </c>
      <c r="H287" s="98"/>
      <c r="I287" s="103"/>
      <c r="J287" s="33"/>
      <c r="K287" s="33"/>
      <c r="L287" s="33"/>
      <c r="M287" s="67"/>
      <c r="N287" s="50"/>
      <c r="P287" s="92"/>
      <c r="AI287" s="91"/>
    </row>
    <row r="288" spans="1:35" s="32" customFormat="1" x14ac:dyDescent="0.25">
      <c r="A288" s="33" t="str">
        <f>IF(ISBLANK(E288),"",_xlfn.XLOOKUP(E288,Info!A:A,Info!B:B))</f>
        <v/>
      </c>
      <c r="B288" s="33"/>
      <c r="C288" s="33"/>
      <c r="D288" s="54"/>
      <c r="E288" s="91"/>
      <c r="F288" s="54"/>
      <c r="G288" s="33" t="str">
        <f>IF(ISBLANK(H288),"",_xlfn.XLOOKUP(H288,Info!A:A,Info!B:B))</f>
        <v/>
      </c>
      <c r="H288" s="98"/>
      <c r="I288" s="103"/>
      <c r="J288" s="33"/>
      <c r="K288" s="33"/>
      <c r="L288" s="33"/>
      <c r="M288" s="67"/>
      <c r="N288" s="50"/>
      <c r="P288" s="92"/>
      <c r="AI288" s="91"/>
    </row>
    <row r="289" spans="1:35" s="32" customFormat="1" x14ac:dyDescent="0.25">
      <c r="A289" s="33" t="str">
        <f>IF(ISBLANK(E289),"",_xlfn.XLOOKUP(E289,Info!A:A,Info!B:B))</f>
        <v/>
      </c>
      <c r="B289" s="33"/>
      <c r="C289" s="33"/>
      <c r="D289" s="54"/>
      <c r="E289" s="91"/>
      <c r="F289" s="54"/>
      <c r="G289" s="33" t="str">
        <f>IF(ISBLANK(H289),"",_xlfn.XLOOKUP(H289,Info!A:A,Info!B:B))</f>
        <v/>
      </c>
      <c r="H289" s="98"/>
      <c r="I289" s="103"/>
      <c r="J289" s="33"/>
      <c r="K289" s="33"/>
      <c r="L289" s="33"/>
      <c r="M289" s="67"/>
      <c r="N289" s="50"/>
      <c r="P289" s="92"/>
      <c r="AI289" s="91"/>
    </row>
    <row r="290" spans="1:35" s="32" customFormat="1" x14ac:dyDescent="0.25">
      <c r="A290" s="33" t="str">
        <f>IF(ISBLANK(E290),"",_xlfn.XLOOKUP(E290,Info!A:A,Info!B:B))</f>
        <v/>
      </c>
      <c r="B290" s="33"/>
      <c r="C290" s="33"/>
      <c r="D290" s="54"/>
      <c r="E290" s="91"/>
      <c r="F290" s="54"/>
      <c r="G290" s="33" t="str">
        <f>IF(ISBLANK(H290),"",_xlfn.XLOOKUP(H290,Info!A:A,Info!B:B))</f>
        <v/>
      </c>
      <c r="H290" s="98"/>
      <c r="I290" s="103"/>
      <c r="J290" s="33"/>
      <c r="K290" s="33"/>
      <c r="L290" s="33"/>
      <c r="M290" s="67"/>
      <c r="N290" s="50"/>
      <c r="P290" s="92"/>
      <c r="AI290" s="91"/>
    </row>
    <row r="291" spans="1:35" s="32" customFormat="1" x14ac:dyDescent="0.25">
      <c r="A291" s="33" t="str">
        <f>IF(ISBLANK(E291),"",_xlfn.XLOOKUP(E291,Info!A:A,Info!B:B))</f>
        <v/>
      </c>
      <c r="B291" s="33"/>
      <c r="C291" s="33"/>
      <c r="D291" s="54"/>
      <c r="E291" s="91"/>
      <c r="F291" s="54"/>
      <c r="G291" s="33" t="str">
        <f>IF(ISBLANK(H291),"",_xlfn.XLOOKUP(H291,Info!A:A,Info!B:B))</f>
        <v/>
      </c>
      <c r="H291" s="98"/>
      <c r="I291" s="103"/>
      <c r="J291" s="33"/>
      <c r="K291" s="33"/>
      <c r="L291" s="33"/>
      <c r="M291" s="67"/>
      <c r="N291" s="50"/>
      <c r="P291" s="92"/>
      <c r="AI291" s="91"/>
    </row>
    <row r="292" spans="1:35" s="32" customFormat="1" x14ac:dyDescent="0.25">
      <c r="A292" s="33" t="str">
        <f>IF(ISBLANK(E292),"",_xlfn.XLOOKUP(E292,Info!A:A,Info!B:B))</f>
        <v/>
      </c>
      <c r="B292" s="33"/>
      <c r="C292" s="33"/>
      <c r="D292" s="54"/>
      <c r="E292" s="91"/>
      <c r="F292" s="54"/>
      <c r="G292" s="33" t="str">
        <f>IF(ISBLANK(H292),"",_xlfn.XLOOKUP(H292,Info!A:A,Info!B:B))</f>
        <v/>
      </c>
      <c r="H292" s="98"/>
      <c r="I292" s="103"/>
      <c r="J292" s="33"/>
      <c r="K292" s="33"/>
      <c r="L292" s="33"/>
      <c r="M292" s="67"/>
      <c r="N292" s="50"/>
      <c r="P292" s="92"/>
      <c r="AI292" s="91"/>
    </row>
    <row r="293" spans="1:35" s="32" customFormat="1" x14ac:dyDescent="0.25">
      <c r="A293" s="33" t="str">
        <f>IF(ISBLANK(E293),"",_xlfn.XLOOKUP(E293,Info!A:A,Info!B:B))</f>
        <v/>
      </c>
      <c r="B293" s="33"/>
      <c r="C293" s="33"/>
      <c r="D293" s="54"/>
      <c r="E293" s="91"/>
      <c r="F293" s="54"/>
      <c r="G293" s="33" t="str">
        <f>IF(ISBLANK(H293),"",_xlfn.XLOOKUP(H293,Info!A:A,Info!B:B))</f>
        <v/>
      </c>
      <c r="H293" s="98"/>
      <c r="I293" s="103"/>
      <c r="J293" s="33"/>
      <c r="K293" s="33"/>
      <c r="L293" s="33"/>
      <c r="M293" s="67"/>
      <c r="N293" s="50"/>
      <c r="P293" s="92"/>
      <c r="AI293" s="91"/>
    </row>
    <row r="294" spans="1:35" s="32" customFormat="1" x14ac:dyDescent="0.25">
      <c r="A294" s="33" t="str">
        <f>IF(ISBLANK(E294),"",_xlfn.XLOOKUP(E294,Info!A:A,Info!B:B))</f>
        <v/>
      </c>
      <c r="B294" s="33"/>
      <c r="C294" s="33"/>
      <c r="D294" s="54"/>
      <c r="E294" s="91"/>
      <c r="F294" s="54"/>
      <c r="G294" s="33" t="str">
        <f>IF(ISBLANK(H294),"",_xlfn.XLOOKUP(H294,Info!A:A,Info!B:B))</f>
        <v/>
      </c>
      <c r="H294" s="98"/>
      <c r="I294" s="103"/>
      <c r="J294" s="33"/>
      <c r="K294" s="33"/>
      <c r="L294" s="33"/>
      <c r="M294" s="67"/>
      <c r="N294" s="50"/>
      <c r="P294" s="92"/>
      <c r="AI294" s="91"/>
    </row>
    <row r="295" spans="1:35" s="32" customFormat="1" x14ac:dyDescent="0.25">
      <c r="A295" s="33" t="str">
        <f>IF(ISBLANK(E295),"",_xlfn.XLOOKUP(E295,Info!A:A,Info!B:B))</f>
        <v/>
      </c>
      <c r="B295" s="33"/>
      <c r="C295" s="33"/>
      <c r="D295" s="54"/>
      <c r="E295" s="91"/>
      <c r="F295" s="54"/>
      <c r="G295" s="33" t="str">
        <f>IF(ISBLANK(H295),"",_xlfn.XLOOKUP(H295,Info!A:A,Info!B:B))</f>
        <v/>
      </c>
      <c r="H295" s="98"/>
      <c r="I295" s="103"/>
      <c r="J295" s="33"/>
      <c r="K295" s="33"/>
      <c r="L295" s="33"/>
      <c r="M295" s="67"/>
      <c r="N295" s="50"/>
      <c r="P295" s="92"/>
      <c r="AI295" s="91"/>
    </row>
    <row r="296" spans="1:35" s="32" customFormat="1" x14ac:dyDescent="0.25">
      <c r="A296" s="33" t="str">
        <f>IF(ISBLANK(E296),"",_xlfn.XLOOKUP(E296,Info!A:A,Info!B:B))</f>
        <v/>
      </c>
      <c r="B296" s="33"/>
      <c r="C296" s="33"/>
      <c r="D296" s="54"/>
      <c r="E296" s="91"/>
      <c r="F296" s="54"/>
      <c r="G296" s="33" t="str">
        <f>IF(ISBLANK(H296),"",_xlfn.XLOOKUP(H296,Info!A:A,Info!B:B))</f>
        <v/>
      </c>
      <c r="H296" s="98"/>
      <c r="I296" s="103"/>
      <c r="J296" s="33"/>
      <c r="K296" s="33"/>
      <c r="L296" s="33"/>
      <c r="M296" s="67"/>
      <c r="N296" s="50"/>
      <c r="P296" s="92"/>
      <c r="AI296" s="91"/>
    </row>
    <row r="297" spans="1:35" s="32" customFormat="1" x14ac:dyDescent="0.25">
      <c r="A297" s="33" t="str">
        <f>IF(ISBLANK(E297),"",_xlfn.XLOOKUP(E297,Info!A:A,Info!B:B))</f>
        <v/>
      </c>
      <c r="B297" s="33"/>
      <c r="C297" s="33"/>
      <c r="D297" s="54"/>
      <c r="E297" s="91"/>
      <c r="F297" s="54"/>
      <c r="G297" s="33" t="str">
        <f>IF(ISBLANK(H297),"",_xlfn.XLOOKUP(H297,Info!A:A,Info!B:B))</f>
        <v/>
      </c>
      <c r="H297" s="98"/>
      <c r="I297" s="103"/>
      <c r="J297" s="33"/>
      <c r="K297" s="33"/>
      <c r="L297" s="33"/>
      <c r="M297" s="67"/>
      <c r="N297" s="50"/>
      <c r="P297" s="92"/>
      <c r="AI297" s="91"/>
    </row>
    <row r="298" spans="1:35" s="32" customFormat="1" x14ac:dyDescent="0.25">
      <c r="A298" s="33" t="str">
        <f>IF(ISBLANK(E298),"",_xlfn.XLOOKUP(E298,Info!A:A,Info!B:B))</f>
        <v/>
      </c>
      <c r="B298" s="33"/>
      <c r="C298" s="33"/>
      <c r="D298" s="54"/>
      <c r="E298" s="91"/>
      <c r="F298" s="54"/>
      <c r="G298" s="33" t="str">
        <f>IF(ISBLANK(H298),"",_xlfn.XLOOKUP(H298,Info!A:A,Info!B:B))</f>
        <v/>
      </c>
      <c r="H298" s="98"/>
      <c r="I298" s="103"/>
      <c r="J298" s="33"/>
      <c r="K298" s="33"/>
      <c r="L298" s="33"/>
      <c r="M298" s="67"/>
      <c r="N298" s="50"/>
      <c r="P298" s="92"/>
      <c r="AI298" s="91"/>
    </row>
    <row r="299" spans="1:35" s="32" customFormat="1" x14ac:dyDescent="0.25">
      <c r="A299" s="33" t="str">
        <f>IF(ISBLANK(E299),"",_xlfn.XLOOKUP(E299,Info!A:A,Info!B:B))</f>
        <v/>
      </c>
      <c r="B299" s="33"/>
      <c r="C299" s="33"/>
      <c r="D299" s="54"/>
      <c r="E299" s="91"/>
      <c r="F299" s="54"/>
      <c r="G299" s="33" t="str">
        <f>IF(ISBLANK(H299),"",_xlfn.XLOOKUP(H299,Info!A:A,Info!B:B))</f>
        <v/>
      </c>
      <c r="H299" s="98"/>
      <c r="I299" s="103"/>
      <c r="J299" s="33"/>
      <c r="K299" s="33"/>
      <c r="L299" s="33"/>
      <c r="M299" s="67"/>
      <c r="N299" s="50"/>
      <c r="P299" s="92"/>
      <c r="AI299" s="91"/>
    </row>
    <row r="300" spans="1:35" s="32" customFormat="1" x14ac:dyDescent="0.25">
      <c r="A300" s="33" t="str">
        <f>IF(ISBLANK(E300),"",_xlfn.XLOOKUP(E300,Info!A:A,Info!B:B))</f>
        <v/>
      </c>
      <c r="B300" s="33"/>
      <c r="C300" s="33"/>
      <c r="D300" s="54"/>
      <c r="E300" s="91"/>
      <c r="F300" s="54"/>
      <c r="G300" s="33" t="str">
        <f>IF(ISBLANK(H300),"",_xlfn.XLOOKUP(H300,Info!A:A,Info!B:B))</f>
        <v/>
      </c>
      <c r="H300" s="98"/>
      <c r="I300" s="103"/>
      <c r="J300" s="33"/>
      <c r="K300" s="33"/>
      <c r="L300" s="33"/>
      <c r="M300" s="67"/>
      <c r="N300" s="50"/>
      <c r="P300" s="92"/>
      <c r="AI300" s="91"/>
    </row>
    <row r="301" spans="1:35" s="32" customFormat="1" x14ac:dyDescent="0.25">
      <c r="A301" s="33" t="str">
        <f>IF(ISBLANK(E301),"",_xlfn.XLOOKUP(E301,Info!A:A,Info!B:B))</f>
        <v/>
      </c>
      <c r="B301" s="33"/>
      <c r="C301" s="33"/>
      <c r="D301" s="54"/>
      <c r="E301" s="91"/>
      <c r="F301" s="54"/>
      <c r="G301" s="33" t="str">
        <f>IF(ISBLANK(H301),"",_xlfn.XLOOKUP(H301,Info!A:A,Info!B:B))</f>
        <v/>
      </c>
      <c r="H301" s="98"/>
      <c r="I301" s="103"/>
      <c r="J301" s="33"/>
      <c r="K301" s="33"/>
      <c r="L301" s="33"/>
      <c r="M301" s="67"/>
      <c r="N301" s="50"/>
      <c r="P301" s="92"/>
      <c r="AI301" s="91"/>
    </row>
    <row r="302" spans="1:35" s="32" customFormat="1" x14ac:dyDescent="0.25">
      <c r="A302" s="33" t="str">
        <f>IF(ISBLANK(E302),"",_xlfn.XLOOKUP(E302,Info!A:A,Info!B:B))</f>
        <v/>
      </c>
      <c r="B302" s="33"/>
      <c r="C302" s="33"/>
      <c r="D302" s="54"/>
      <c r="E302" s="91"/>
      <c r="F302" s="54"/>
      <c r="G302" s="33" t="str">
        <f>IF(ISBLANK(H302),"",_xlfn.XLOOKUP(H302,Info!A:A,Info!B:B))</f>
        <v/>
      </c>
      <c r="H302" s="98"/>
      <c r="I302" s="103"/>
      <c r="J302" s="33"/>
      <c r="K302" s="33"/>
      <c r="L302" s="33"/>
      <c r="M302" s="67"/>
      <c r="N302" s="50"/>
      <c r="P302" s="92"/>
      <c r="AI302" s="91"/>
    </row>
    <row r="303" spans="1:35" s="32" customFormat="1" x14ac:dyDescent="0.25">
      <c r="A303" s="33" t="str">
        <f>IF(ISBLANK(E303),"",_xlfn.XLOOKUP(E303,Info!A:A,Info!B:B))</f>
        <v/>
      </c>
      <c r="B303" s="33"/>
      <c r="C303" s="33"/>
      <c r="D303" s="54"/>
      <c r="E303" s="91"/>
      <c r="F303" s="54"/>
      <c r="G303" s="33" t="str">
        <f>IF(ISBLANK(H303),"",_xlfn.XLOOKUP(H303,Info!A:A,Info!B:B))</f>
        <v/>
      </c>
      <c r="H303" s="98"/>
      <c r="I303" s="103"/>
      <c r="J303" s="33"/>
      <c r="K303" s="33"/>
      <c r="L303" s="33"/>
      <c r="M303" s="67"/>
      <c r="N303" s="50"/>
      <c r="P303" s="92"/>
      <c r="AI303" s="91"/>
    </row>
    <row r="304" spans="1:35" s="32" customFormat="1" x14ac:dyDescent="0.25">
      <c r="A304" s="33" t="str">
        <f>IF(ISBLANK(E304),"",_xlfn.XLOOKUP(E304,Info!A:A,Info!B:B))</f>
        <v/>
      </c>
      <c r="B304" s="33"/>
      <c r="C304" s="33"/>
      <c r="D304" s="54"/>
      <c r="E304" s="91"/>
      <c r="F304" s="54"/>
      <c r="G304" s="33" t="str">
        <f>IF(ISBLANK(H304),"",_xlfn.XLOOKUP(H304,Info!A:A,Info!B:B))</f>
        <v/>
      </c>
      <c r="H304" s="98"/>
      <c r="I304" s="103"/>
      <c r="J304" s="33"/>
      <c r="K304" s="33"/>
      <c r="L304" s="33"/>
      <c r="M304" s="67"/>
      <c r="N304" s="50"/>
      <c r="P304" s="92"/>
      <c r="AI304" s="91"/>
    </row>
    <row r="305" spans="1:35" s="32" customFormat="1" x14ac:dyDescent="0.25">
      <c r="A305" s="33" t="str">
        <f>IF(ISBLANK(E305),"",_xlfn.XLOOKUP(E305,Info!A:A,Info!B:B))</f>
        <v/>
      </c>
      <c r="B305" s="33"/>
      <c r="C305" s="33"/>
      <c r="D305" s="54"/>
      <c r="E305" s="91"/>
      <c r="F305" s="54"/>
      <c r="G305" s="33" t="str">
        <f>IF(ISBLANK(H305),"",_xlfn.XLOOKUP(H305,Info!A:A,Info!B:B))</f>
        <v/>
      </c>
      <c r="H305" s="98"/>
      <c r="I305" s="103"/>
      <c r="J305" s="33"/>
      <c r="K305" s="33"/>
      <c r="L305" s="33"/>
      <c r="M305" s="67"/>
      <c r="N305" s="50"/>
      <c r="P305" s="92"/>
      <c r="AI305" s="91"/>
    </row>
    <row r="306" spans="1:35" s="32" customFormat="1" x14ac:dyDescent="0.25">
      <c r="A306" s="33" t="str">
        <f>IF(ISBLANK(E306),"",_xlfn.XLOOKUP(E306,Info!A:A,Info!B:B))</f>
        <v/>
      </c>
      <c r="B306" s="33"/>
      <c r="C306" s="33"/>
      <c r="D306" s="54"/>
      <c r="E306" s="91"/>
      <c r="F306" s="54"/>
      <c r="G306" s="33" t="str">
        <f>IF(ISBLANK(H306),"",_xlfn.XLOOKUP(H306,Info!A:A,Info!B:B))</f>
        <v/>
      </c>
      <c r="H306" s="98"/>
      <c r="I306" s="103"/>
      <c r="J306" s="33"/>
      <c r="K306" s="33"/>
      <c r="L306" s="33"/>
      <c r="M306" s="67"/>
      <c r="N306" s="50"/>
      <c r="P306" s="92"/>
      <c r="AI306" s="91"/>
    </row>
    <row r="307" spans="1:35" s="32" customFormat="1" x14ac:dyDescent="0.25">
      <c r="A307" s="33" t="str">
        <f>IF(ISBLANK(E307),"",_xlfn.XLOOKUP(E307,Info!A:A,Info!B:B))</f>
        <v/>
      </c>
      <c r="B307" s="33"/>
      <c r="C307" s="33"/>
      <c r="D307" s="54"/>
      <c r="E307" s="91"/>
      <c r="F307" s="54"/>
      <c r="G307" s="33" t="str">
        <f>IF(ISBLANK(H307),"",_xlfn.XLOOKUP(H307,Info!A:A,Info!B:B))</f>
        <v/>
      </c>
      <c r="H307" s="98"/>
      <c r="I307" s="103"/>
      <c r="J307" s="33"/>
      <c r="K307" s="33"/>
      <c r="L307" s="33"/>
      <c r="M307" s="67"/>
      <c r="N307" s="50"/>
      <c r="P307" s="92"/>
      <c r="AI307" s="91"/>
    </row>
    <row r="308" spans="1:35" s="32" customFormat="1" x14ac:dyDescent="0.25">
      <c r="A308" s="33" t="str">
        <f>IF(ISBLANK(E308),"",_xlfn.XLOOKUP(E308,Info!A:A,Info!B:B))</f>
        <v/>
      </c>
      <c r="B308" s="33"/>
      <c r="C308" s="33"/>
      <c r="D308" s="54"/>
      <c r="E308" s="91"/>
      <c r="F308" s="54"/>
      <c r="G308" s="33" t="str">
        <f>IF(ISBLANK(H308),"",_xlfn.XLOOKUP(H308,Info!A:A,Info!B:B))</f>
        <v/>
      </c>
      <c r="H308" s="98"/>
      <c r="I308" s="103"/>
      <c r="J308" s="33"/>
      <c r="K308" s="33"/>
      <c r="L308" s="33"/>
      <c r="M308" s="67"/>
      <c r="N308" s="50"/>
      <c r="P308" s="92"/>
      <c r="AI308" s="91"/>
    </row>
    <row r="309" spans="1:35" s="32" customFormat="1" x14ac:dyDescent="0.25">
      <c r="A309" s="33" t="str">
        <f>IF(ISBLANK(E309),"",_xlfn.XLOOKUP(E309,Info!A:A,Info!B:B))</f>
        <v/>
      </c>
      <c r="B309" s="33"/>
      <c r="C309" s="33"/>
      <c r="D309" s="54"/>
      <c r="E309" s="91"/>
      <c r="F309" s="54"/>
      <c r="G309" s="33" t="str">
        <f>IF(ISBLANK(H309),"",_xlfn.XLOOKUP(H309,Info!A:A,Info!B:B))</f>
        <v/>
      </c>
      <c r="H309" s="98"/>
      <c r="I309" s="103"/>
      <c r="J309" s="33"/>
      <c r="K309" s="33"/>
      <c r="L309" s="33"/>
      <c r="M309" s="67"/>
      <c r="N309" s="50"/>
      <c r="P309" s="92"/>
      <c r="AI309" s="91"/>
    </row>
    <row r="310" spans="1:35" s="32" customFormat="1" x14ac:dyDescent="0.25">
      <c r="A310" s="33" t="str">
        <f>IF(ISBLANK(E310),"",_xlfn.XLOOKUP(E310,Info!A:A,Info!B:B))</f>
        <v/>
      </c>
      <c r="B310" s="33"/>
      <c r="C310" s="33"/>
      <c r="D310" s="54"/>
      <c r="E310" s="91"/>
      <c r="F310" s="54"/>
      <c r="G310" s="33" t="str">
        <f>IF(ISBLANK(H310),"",_xlfn.XLOOKUP(H310,Info!A:A,Info!B:B))</f>
        <v/>
      </c>
      <c r="H310" s="98"/>
      <c r="I310" s="103"/>
      <c r="J310" s="33"/>
      <c r="K310" s="33"/>
      <c r="L310" s="33"/>
      <c r="M310" s="67"/>
      <c r="N310" s="50"/>
      <c r="P310" s="92"/>
      <c r="AI310" s="91"/>
    </row>
    <row r="311" spans="1:35" s="32" customFormat="1" x14ac:dyDescent="0.25">
      <c r="A311" s="33" t="str">
        <f>IF(ISBLANK(E311),"",_xlfn.XLOOKUP(E311,Info!A:A,Info!B:B))</f>
        <v/>
      </c>
      <c r="B311" s="33"/>
      <c r="C311" s="33"/>
      <c r="D311" s="54"/>
      <c r="E311" s="91"/>
      <c r="F311" s="54"/>
      <c r="G311" s="33" t="str">
        <f>IF(ISBLANK(H311),"",_xlfn.XLOOKUP(H311,Info!A:A,Info!B:B))</f>
        <v/>
      </c>
      <c r="H311" s="98"/>
      <c r="I311" s="103"/>
      <c r="J311" s="33"/>
      <c r="K311" s="33"/>
      <c r="L311" s="33"/>
      <c r="M311" s="67"/>
      <c r="N311" s="50"/>
      <c r="P311" s="92"/>
      <c r="AI311" s="91"/>
    </row>
    <row r="312" spans="1:35" s="32" customFormat="1" x14ac:dyDescent="0.25">
      <c r="A312" s="33" t="str">
        <f>IF(ISBLANK(E312),"",_xlfn.XLOOKUP(E312,Info!A:A,Info!B:B))</f>
        <v/>
      </c>
      <c r="B312" s="33"/>
      <c r="C312" s="33"/>
      <c r="D312" s="54"/>
      <c r="E312" s="91"/>
      <c r="F312" s="54"/>
      <c r="G312" s="33" t="str">
        <f>IF(ISBLANK(H312),"",_xlfn.XLOOKUP(H312,Info!A:A,Info!B:B))</f>
        <v/>
      </c>
      <c r="H312" s="98"/>
      <c r="I312" s="103"/>
      <c r="J312" s="33"/>
      <c r="K312" s="33"/>
      <c r="L312" s="33"/>
      <c r="M312" s="67"/>
      <c r="N312" s="50"/>
      <c r="P312" s="92"/>
      <c r="AI312" s="91"/>
    </row>
    <row r="313" spans="1:35" s="32" customFormat="1" x14ac:dyDescent="0.25">
      <c r="A313" s="33" t="str">
        <f>IF(ISBLANK(E313),"",_xlfn.XLOOKUP(E313,Info!A:A,Info!B:B))</f>
        <v/>
      </c>
      <c r="B313" s="33"/>
      <c r="C313" s="33"/>
      <c r="D313" s="54"/>
      <c r="E313" s="91"/>
      <c r="F313" s="54"/>
      <c r="G313" s="33" t="str">
        <f>IF(ISBLANK(H313),"",_xlfn.XLOOKUP(H313,Info!A:A,Info!B:B))</f>
        <v/>
      </c>
      <c r="H313" s="98"/>
      <c r="I313" s="103"/>
      <c r="J313" s="33"/>
      <c r="K313" s="33"/>
      <c r="L313" s="33"/>
      <c r="M313" s="67"/>
      <c r="N313" s="50"/>
      <c r="P313" s="92"/>
      <c r="AI313" s="91"/>
    </row>
    <row r="314" spans="1:35" s="32" customFormat="1" x14ac:dyDescent="0.25">
      <c r="A314" s="33" t="str">
        <f>IF(ISBLANK(E314),"",_xlfn.XLOOKUP(E314,Info!A:A,Info!B:B))</f>
        <v/>
      </c>
      <c r="B314" s="33"/>
      <c r="C314" s="33"/>
      <c r="D314" s="54"/>
      <c r="E314" s="91"/>
      <c r="F314" s="54"/>
      <c r="G314" s="33" t="str">
        <f>IF(ISBLANK(H314),"",_xlfn.XLOOKUP(H314,Info!A:A,Info!B:B))</f>
        <v/>
      </c>
      <c r="H314" s="98"/>
      <c r="I314" s="103"/>
      <c r="J314" s="33"/>
      <c r="K314" s="33"/>
      <c r="L314" s="33"/>
      <c r="M314" s="67"/>
      <c r="N314" s="50"/>
      <c r="P314" s="92"/>
      <c r="AI314" s="91"/>
    </row>
    <row r="315" spans="1:35" s="32" customFormat="1" x14ac:dyDescent="0.25">
      <c r="A315" s="33" t="str">
        <f>IF(ISBLANK(E315),"",_xlfn.XLOOKUP(E315,Info!A:A,Info!B:B))</f>
        <v/>
      </c>
      <c r="B315" s="33"/>
      <c r="C315" s="33"/>
      <c r="D315" s="54"/>
      <c r="E315" s="91"/>
      <c r="F315" s="54"/>
      <c r="G315" s="33" t="str">
        <f>IF(ISBLANK(H315),"",_xlfn.XLOOKUP(H315,Info!A:A,Info!B:B))</f>
        <v/>
      </c>
      <c r="H315" s="98"/>
      <c r="I315" s="103"/>
      <c r="J315" s="33"/>
      <c r="K315" s="33"/>
      <c r="L315" s="33"/>
      <c r="M315" s="67"/>
      <c r="N315" s="50"/>
      <c r="P315" s="92"/>
      <c r="AI315" s="91"/>
    </row>
    <row r="316" spans="1:35" s="32" customFormat="1" x14ac:dyDescent="0.25">
      <c r="A316" s="33" t="str">
        <f>IF(ISBLANK(E316),"",_xlfn.XLOOKUP(E316,Info!A:A,Info!B:B))</f>
        <v/>
      </c>
      <c r="B316" s="33"/>
      <c r="C316" s="33"/>
      <c r="D316" s="54"/>
      <c r="E316" s="91"/>
      <c r="F316" s="54"/>
      <c r="G316" s="33" t="str">
        <f>IF(ISBLANK(H316),"",_xlfn.XLOOKUP(H316,Info!A:A,Info!B:B))</f>
        <v/>
      </c>
      <c r="H316" s="98"/>
      <c r="I316" s="103"/>
      <c r="J316" s="33"/>
      <c r="K316" s="33"/>
      <c r="L316" s="33"/>
      <c r="M316" s="67"/>
      <c r="N316" s="50"/>
      <c r="P316" s="92"/>
      <c r="AI316" s="91"/>
    </row>
    <row r="317" spans="1:35" s="32" customFormat="1" x14ac:dyDescent="0.25">
      <c r="A317" s="33" t="str">
        <f>IF(ISBLANK(E317),"",_xlfn.XLOOKUP(E317,Info!A:A,Info!B:B))</f>
        <v/>
      </c>
      <c r="B317" s="33"/>
      <c r="C317" s="33"/>
      <c r="D317" s="54"/>
      <c r="E317" s="91"/>
      <c r="F317" s="54"/>
      <c r="G317" s="33" t="str">
        <f>IF(ISBLANK(H317),"",_xlfn.XLOOKUP(H317,Info!A:A,Info!B:B))</f>
        <v/>
      </c>
      <c r="H317" s="98"/>
      <c r="I317" s="103"/>
      <c r="J317" s="33"/>
      <c r="K317" s="33"/>
      <c r="L317" s="33"/>
      <c r="M317" s="67"/>
      <c r="N317" s="50"/>
      <c r="P317" s="92"/>
      <c r="AI317" s="91"/>
    </row>
    <row r="318" spans="1:35" s="32" customFormat="1" x14ac:dyDescent="0.25">
      <c r="A318" s="33" t="str">
        <f>IF(ISBLANK(E318),"",_xlfn.XLOOKUP(E318,Info!A:A,Info!B:B))</f>
        <v/>
      </c>
      <c r="B318" s="33"/>
      <c r="C318" s="33"/>
      <c r="D318" s="54"/>
      <c r="E318" s="91"/>
      <c r="F318" s="54"/>
      <c r="G318" s="33" t="str">
        <f>IF(ISBLANK(H318),"",_xlfn.XLOOKUP(H318,Info!A:A,Info!B:B))</f>
        <v/>
      </c>
      <c r="H318" s="98"/>
      <c r="I318" s="103"/>
      <c r="J318" s="33"/>
      <c r="K318" s="33"/>
      <c r="L318" s="33"/>
      <c r="M318" s="67"/>
      <c r="N318" s="50"/>
      <c r="P318" s="92"/>
      <c r="AI318" s="91"/>
    </row>
    <row r="319" spans="1:35" s="32" customFormat="1" x14ac:dyDescent="0.25">
      <c r="A319" s="33" t="str">
        <f>IF(ISBLANK(E319),"",_xlfn.XLOOKUP(E319,Info!A:A,Info!B:B))</f>
        <v/>
      </c>
      <c r="B319" s="33"/>
      <c r="C319" s="33"/>
      <c r="D319" s="54"/>
      <c r="E319" s="91"/>
      <c r="F319" s="54"/>
      <c r="G319" s="33" t="str">
        <f>IF(ISBLANK(H319),"",_xlfn.XLOOKUP(H319,Info!A:A,Info!B:B))</f>
        <v/>
      </c>
      <c r="H319" s="98"/>
      <c r="I319" s="103"/>
      <c r="J319" s="33"/>
      <c r="K319" s="33"/>
      <c r="L319" s="33"/>
      <c r="M319" s="67"/>
      <c r="N319" s="50"/>
      <c r="P319" s="92"/>
      <c r="AI319" s="91"/>
    </row>
    <row r="320" spans="1:35" s="32" customFormat="1" x14ac:dyDescent="0.25">
      <c r="A320" s="33" t="str">
        <f>IF(ISBLANK(E320),"",_xlfn.XLOOKUP(E320,Info!A:A,Info!B:B))</f>
        <v/>
      </c>
      <c r="B320" s="33"/>
      <c r="C320" s="33"/>
      <c r="D320" s="54"/>
      <c r="E320" s="91"/>
      <c r="F320" s="54"/>
      <c r="G320" s="33" t="str">
        <f>IF(ISBLANK(H320),"",_xlfn.XLOOKUP(H320,Info!A:A,Info!B:B))</f>
        <v/>
      </c>
      <c r="H320" s="98"/>
      <c r="I320" s="103"/>
      <c r="J320" s="33"/>
      <c r="K320" s="33"/>
      <c r="L320" s="33"/>
      <c r="M320" s="67"/>
      <c r="N320" s="50"/>
      <c r="P320" s="92"/>
      <c r="AI320" s="91"/>
    </row>
    <row r="321" spans="1:35" s="32" customFormat="1" x14ac:dyDescent="0.25">
      <c r="A321" s="33" t="str">
        <f>IF(ISBLANK(E321),"",_xlfn.XLOOKUP(E321,Info!A:A,Info!B:B))</f>
        <v/>
      </c>
      <c r="B321" s="33"/>
      <c r="C321" s="33"/>
      <c r="D321" s="54"/>
      <c r="E321" s="91"/>
      <c r="F321" s="54"/>
      <c r="G321" s="33" t="str">
        <f>IF(ISBLANK(H321),"",_xlfn.XLOOKUP(H321,Info!A:A,Info!B:B))</f>
        <v/>
      </c>
      <c r="H321" s="98"/>
      <c r="I321" s="103"/>
      <c r="J321" s="33"/>
      <c r="K321" s="33"/>
      <c r="L321" s="33"/>
      <c r="M321" s="67"/>
      <c r="N321" s="50"/>
      <c r="P321" s="92"/>
      <c r="AI321" s="91"/>
    </row>
    <row r="322" spans="1:35" s="32" customFormat="1" x14ac:dyDescent="0.25">
      <c r="A322" s="33" t="str">
        <f>IF(ISBLANK(E322),"",_xlfn.XLOOKUP(E322,Info!A:A,Info!B:B))</f>
        <v/>
      </c>
      <c r="B322" s="33"/>
      <c r="C322" s="33"/>
      <c r="D322" s="54"/>
      <c r="E322" s="91"/>
      <c r="F322" s="54"/>
      <c r="G322" s="33" t="str">
        <f>IF(ISBLANK(H322),"",_xlfn.XLOOKUP(H322,Info!A:A,Info!B:B))</f>
        <v/>
      </c>
      <c r="H322" s="98"/>
      <c r="I322" s="103"/>
      <c r="J322" s="33"/>
      <c r="K322" s="33"/>
      <c r="L322" s="33"/>
      <c r="M322" s="67"/>
      <c r="N322" s="50"/>
      <c r="P322" s="92"/>
      <c r="AI322" s="91"/>
    </row>
    <row r="323" spans="1:35" s="32" customFormat="1" x14ac:dyDescent="0.25">
      <c r="A323" s="33" t="str">
        <f>IF(ISBLANK(E323),"",_xlfn.XLOOKUP(E323,Info!A:A,Info!B:B))</f>
        <v/>
      </c>
      <c r="B323" s="33"/>
      <c r="C323" s="33"/>
      <c r="D323" s="54"/>
      <c r="E323" s="91"/>
      <c r="F323" s="54"/>
      <c r="G323" s="33" t="str">
        <f>IF(ISBLANK(H323),"",_xlfn.XLOOKUP(H323,Info!A:A,Info!B:B))</f>
        <v/>
      </c>
      <c r="H323" s="98"/>
      <c r="I323" s="103"/>
      <c r="J323" s="33"/>
      <c r="K323" s="33"/>
      <c r="L323" s="33"/>
      <c r="M323" s="67"/>
      <c r="N323" s="50"/>
      <c r="P323" s="92"/>
      <c r="AI323" s="91"/>
    </row>
    <row r="324" spans="1:35" s="32" customFormat="1" x14ac:dyDescent="0.25">
      <c r="A324" s="33" t="str">
        <f>IF(ISBLANK(E324),"",_xlfn.XLOOKUP(E324,Info!A:A,Info!B:B))</f>
        <v/>
      </c>
      <c r="B324" s="33"/>
      <c r="C324" s="33"/>
      <c r="D324" s="54"/>
      <c r="E324" s="91"/>
      <c r="F324" s="54"/>
      <c r="G324" s="33" t="str">
        <f>IF(ISBLANK(H324),"",_xlfn.XLOOKUP(H324,Info!A:A,Info!B:B))</f>
        <v/>
      </c>
      <c r="H324" s="98"/>
      <c r="I324" s="103"/>
      <c r="J324" s="33"/>
      <c r="K324" s="33"/>
      <c r="L324" s="33"/>
      <c r="M324" s="67"/>
      <c r="N324" s="50"/>
      <c r="P324" s="92"/>
      <c r="AI324" s="91"/>
    </row>
    <row r="325" spans="1:35" s="32" customFormat="1" x14ac:dyDescent="0.25">
      <c r="A325" s="33" t="str">
        <f>IF(ISBLANK(E325),"",_xlfn.XLOOKUP(E325,Info!A:A,Info!B:B))</f>
        <v/>
      </c>
      <c r="B325" s="33"/>
      <c r="C325" s="33"/>
      <c r="D325" s="54"/>
      <c r="E325" s="91"/>
      <c r="F325" s="54"/>
      <c r="G325" s="33" t="str">
        <f>IF(ISBLANK(H325),"",_xlfn.XLOOKUP(H325,Info!A:A,Info!B:B))</f>
        <v/>
      </c>
      <c r="H325" s="98"/>
      <c r="I325" s="103"/>
      <c r="J325" s="33"/>
      <c r="K325" s="33"/>
      <c r="L325" s="33"/>
      <c r="M325" s="67"/>
      <c r="N325" s="50"/>
      <c r="P325" s="92"/>
      <c r="AI325" s="91"/>
    </row>
    <row r="326" spans="1:35" s="32" customFormat="1" x14ac:dyDescent="0.25">
      <c r="A326" s="33" t="str">
        <f>IF(ISBLANK(E326),"",_xlfn.XLOOKUP(E326,Info!A:A,Info!B:B))</f>
        <v/>
      </c>
      <c r="B326" s="33"/>
      <c r="C326" s="33"/>
      <c r="D326" s="54"/>
      <c r="E326" s="91"/>
      <c r="F326" s="54"/>
      <c r="G326" s="33" t="str">
        <f>IF(ISBLANK(H326),"",_xlfn.XLOOKUP(H326,Info!A:A,Info!B:B))</f>
        <v/>
      </c>
      <c r="H326" s="98"/>
      <c r="I326" s="103"/>
      <c r="J326" s="33"/>
      <c r="K326" s="33"/>
      <c r="L326" s="33"/>
      <c r="M326" s="67"/>
      <c r="N326" s="50"/>
      <c r="P326" s="92"/>
      <c r="AI326" s="91"/>
    </row>
    <row r="327" spans="1:35" s="32" customFormat="1" x14ac:dyDescent="0.25">
      <c r="A327" s="33" t="str">
        <f>IF(ISBLANK(E327),"",_xlfn.XLOOKUP(E327,Info!A:A,Info!B:B))</f>
        <v/>
      </c>
      <c r="B327" s="33"/>
      <c r="C327" s="33"/>
      <c r="D327" s="54"/>
      <c r="E327" s="91"/>
      <c r="F327" s="54"/>
      <c r="G327" s="33" t="str">
        <f>IF(ISBLANK(H327),"",_xlfn.XLOOKUP(H327,Info!A:A,Info!B:B))</f>
        <v/>
      </c>
      <c r="H327" s="98"/>
      <c r="I327" s="103"/>
      <c r="J327" s="33"/>
      <c r="K327" s="33"/>
      <c r="L327" s="33"/>
      <c r="M327" s="67"/>
      <c r="N327" s="50"/>
      <c r="P327" s="92"/>
      <c r="AI327" s="91"/>
    </row>
    <row r="328" spans="1:35" s="32" customFormat="1" x14ac:dyDescent="0.25">
      <c r="A328" s="33" t="str">
        <f>IF(ISBLANK(E328),"",_xlfn.XLOOKUP(E328,Info!A:A,Info!B:B))</f>
        <v/>
      </c>
      <c r="B328" s="33"/>
      <c r="C328" s="33"/>
      <c r="D328" s="54"/>
      <c r="E328" s="91"/>
      <c r="F328" s="54"/>
      <c r="G328" s="33" t="str">
        <f>IF(ISBLANK(H328),"",_xlfn.XLOOKUP(H328,Info!A:A,Info!B:B))</f>
        <v/>
      </c>
      <c r="H328" s="98"/>
      <c r="I328" s="103"/>
      <c r="J328" s="33"/>
      <c r="K328" s="33"/>
      <c r="L328" s="33"/>
      <c r="M328" s="67"/>
      <c r="N328" s="50"/>
      <c r="P328" s="92"/>
      <c r="AI328" s="91"/>
    </row>
    <row r="329" spans="1:35" s="32" customFormat="1" x14ac:dyDescent="0.25">
      <c r="A329" s="33" t="str">
        <f>IF(ISBLANK(E329),"",_xlfn.XLOOKUP(E329,Info!A:A,Info!B:B))</f>
        <v/>
      </c>
      <c r="B329" s="33"/>
      <c r="C329" s="33"/>
      <c r="D329" s="54"/>
      <c r="E329" s="91"/>
      <c r="F329" s="54"/>
      <c r="G329" s="33" t="str">
        <f>IF(ISBLANK(H329),"",_xlfn.XLOOKUP(H329,Info!A:A,Info!B:B))</f>
        <v/>
      </c>
      <c r="H329" s="98"/>
      <c r="I329" s="103"/>
      <c r="J329" s="33"/>
      <c r="K329" s="33"/>
      <c r="L329" s="33"/>
      <c r="M329" s="67"/>
      <c r="N329" s="50"/>
      <c r="P329" s="92"/>
      <c r="AI329" s="91"/>
    </row>
    <row r="330" spans="1:35" s="32" customFormat="1" x14ac:dyDescent="0.25">
      <c r="A330" s="33" t="str">
        <f>IF(ISBLANK(E330),"",_xlfn.XLOOKUP(E330,Info!A:A,Info!B:B))</f>
        <v/>
      </c>
      <c r="B330" s="33"/>
      <c r="C330" s="33"/>
      <c r="D330" s="54"/>
      <c r="E330" s="91"/>
      <c r="F330" s="54"/>
      <c r="G330" s="33" t="str">
        <f>IF(ISBLANK(H330),"",_xlfn.XLOOKUP(H330,Info!A:A,Info!B:B))</f>
        <v/>
      </c>
      <c r="H330" s="98"/>
      <c r="I330" s="103"/>
      <c r="J330" s="33"/>
      <c r="K330" s="33"/>
      <c r="L330" s="33"/>
      <c r="M330" s="67"/>
      <c r="N330" s="50"/>
      <c r="P330" s="92"/>
      <c r="AI330" s="91"/>
    </row>
    <row r="331" spans="1:35" s="32" customFormat="1" x14ac:dyDescent="0.25">
      <c r="A331" s="33" t="str">
        <f>IF(ISBLANK(E331),"",_xlfn.XLOOKUP(E331,Info!A:A,Info!B:B))</f>
        <v/>
      </c>
      <c r="B331" s="33"/>
      <c r="C331" s="33"/>
      <c r="D331" s="54"/>
      <c r="E331" s="91"/>
      <c r="F331" s="54"/>
      <c r="G331" s="33" t="str">
        <f>IF(ISBLANK(H331),"",_xlfn.XLOOKUP(H331,Info!A:A,Info!B:B))</f>
        <v/>
      </c>
      <c r="H331" s="98"/>
      <c r="I331" s="103"/>
      <c r="J331" s="33"/>
      <c r="K331" s="33"/>
      <c r="L331" s="33"/>
      <c r="M331" s="67"/>
      <c r="N331" s="50"/>
      <c r="P331" s="92"/>
      <c r="AI331" s="91"/>
    </row>
    <row r="332" spans="1:35" s="32" customFormat="1" x14ac:dyDescent="0.25">
      <c r="A332" s="33" t="str">
        <f>IF(ISBLANK(E332),"",_xlfn.XLOOKUP(E332,Info!A:A,Info!B:B))</f>
        <v/>
      </c>
      <c r="B332" s="33"/>
      <c r="C332" s="33"/>
      <c r="D332" s="54"/>
      <c r="E332" s="91"/>
      <c r="F332" s="54"/>
      <c r="G332" s="33" t="str">
        <f>IF(ISBLANK(H332),"",_xlfn.XLOOKUP(H332,Info!A:A,Info!B:B))</f>
        <v/>
      </c>
      <c r="H332" s="98"/>
      <c r="I332" s="103"/>
      <c r="J332" s="33"/>
      <c r="K332" s="33"/>
      <c r="L332" s="33"/>
      <c r="M332" s="67"/>
      <c r="N332" s="50"/>
      <c r="P332" s="92"/>
      <c r="AI332" s="91"/>
    </row>
    <row r="333" spans="1:35" s="32" customFormat="1" x14ac:dyDescent="0.25">
      <c r="A333" s="33" t="str">
        <f>IF(ISBLANK(E333),"",_xlfn.XLOOKUP(E333,Info!A:A,Info!B:B))</f>
        <v/>
      </c>
      <c r="B333" s="33"/>
      <c r="C333" s="33"/>
      <c r="D333" s="54"/>
      <c r="E333" s="91"/>
      <c r="F333" s="54"/>
      <c r="G333" s="33" t="str">
        <f>IF(ISBLANK(H333),"",_xlfn.XLOOKUP(H333,Info!A:A,Info!B:B))</f>
        <v/>
      </c>
      <c r="H333" s="98"/>
      <c r="I333" s="103"/>
      <c r="J333" s="33"/>
      <c r="K333" s="33"/>
      <c r="L333" s="33"/>
      <c r="M333" s="67"/>
      <c r="N333" s="50"/>
      <c r="P333" s="92"/>
      <c r="AI333" s="91"/>
    </row>
    <row r="334" spans="1:35" s="32" customFormat="1" x14ac:dyDescent="0.25">
      <c r="A334" s="33" t="str">
        <f>IF(ISBLANK(E334),"",_xlfn.XLOOKUP(E334,Info!A:A,Info!B:B))</f>
        <v/>
      </c>
      <c r="B334" s="33"/>
      <c r="C334" s="33"/>
      <c r="D334" s="54"/>
      <c r="E334" s="91"/>
      <c r="F334" s="54"/>
      <c r="G334" s="33" t="str">
        <f>IF(ISBLANK(H334),"",_xlfn.XLOOKUP(H334,Info!A:A,Info!B:B))</f>
        <v/>
      </c>
      <c r="H334" s="98"/>
      <c r="I334" s="103"/>
      <c r="J334" s="33"/>
      <c r="K334" s="33"/>
      <c r="L334" s="33"/>
      <c r="M334" s="67"/>
      <c r="N334" s="50"/>
      <c r="P334" s="92"/>
      <c r="AI334" s="91"/>
    </row>
    <row r="335" spans="1:35" s="32" customFormat="1" x14ac:dyDescent="0.25">
      <c r="A335" s="33" t="str">
        <f>IF(ISBLANK(E335),"",_xlfn.XLOOKUP(E335,Info!A:A,Info!B:B))</f>
        <v/>
      </c>
      <c r="B335" s="33"/>
      <c r="C335" s="33"/>
      <c r="D335" s="54"/>
      <c r="E335" s="91"/>
      <c r="F335" s="54"/>
      <c r="G335" s="33" t="str">
        <f>IF(ISBLANK(H335),"",_xlfn.XLOOKUP(H335,Info!A:A,Info!B:B))</f>
        <v/>
      </c>
      <c r="H335" s="98"/>
      <c r="I335" s="103"/>
      <c r="J335" s="33"/>
      <c r="K335" s="33"/>
      <c r="L335" s="33"/>
      <c r="M335" s="67"/>
      <c r="N335" s="50"/>
      <c r="P335" s="92"/>
      <c r="AI335" s="91"/>
    </row>
    <row r="336" spans="1:35" s="32" customFormat="1" x14ac:dyDescent="0.25">
      <c r="A336" s="33" t="str">
        <f>IF(ISBLANK(E336),"",_xlfn.XLOOKUP(E336,Info!A:A,Info!B:B))</f>
        <v/>
      </c>
      <c r="B336" s="33"/>
      <c r="C336" s="33"/>
      <c r="D336" s="54"/>
      <c r="E336" s="91"/>
      <c r="F336" s="54"/>
      <c r="G336" s="33" t="str">
        <f>IF(ISBLANK(H336),"",_xlfn.XLOOKUP(H336,Info!A:A,Info!B:B))</f>
        <v/>
      </c>
      <c r="H336" s="98"/>
      <c r="I336" s="103"/>
      <c r="J336" s="33"/>
      <c r="K336" s="33"/>
      <c r="L336" s="33"/>
      <c r="M336" s="67"/>
      <c r="N336" s="50"/>
      <c r="P336" s="92"/>
      <c r="AI336" s="91"/>
    </row>
    <row r="337" spans="1:35" s="32" customFormat="1" x14ac:dyDescent="0.25">
      <c r="A337" s="33" t="str">
        <f>IF(ISBLANK(E337),"",_xlfn.XLOOKUP(E337,Info!A:A,Info!B:B))</f>
        <v/>
      </c>
      <c r="B337" s="33"/>
      <c r="C337" s="33"/>
      <c r="D337" s="54"/>
      <c r="E337" s="91"/>
      <c r="F337" s="54"/>
      <c r="G337" s="33" t="str">
        <f>IF(ISBLANK(H337),"",_xlfn.XLOOKUP(H337,Info!A:A,Info!B:B))</f>
        <v/>
      </c>
      <c r="H337" s="98"/>
      <c r="I337" s="103"/>
      <c r="J337" s="33"/>
      <c r="K337" s="33"/>
      <c r="L337" s="33"/>
      <c r="M337" s="67"/>
      <c r="N337" s="50"/>
      <c r="P337" s="92"/>
      <c r="AI337" s="91"/>
    </row>
    <row r="338" spans="1:35" s="32" customFormat="1" x14ac:dyDescent="0.25">
      <c r="A338" s="33" t="str">
        <f>IF(ISBLANK(E338),"",_xlfn.XLOOKUP(E338,Info!A:A,Info!B:B))</f>
        <v/>
      </c>
      <c r="B338" s="33"/>
      <c r="C338" s="33"/>
      <c r="D338" s="54"/>
      <c r="E338" s="91"/>
      <c r="F338" s="54"/>
      <c r="G338" s="33" t="str">
        <f>IF(ISBLANK(H338),"",_xlfn.XLOOKUP(H338,Info!A:A,Info!B:B))</f>
        <v/>
      </c>
      <c r="H338" s="98"/>
      <c r="I338" s="103"/>
      <c r="J338" s="33"/>
      <c r="K338" s="33"/>
      <c r="L338" s="33"/>
      <c r="M338" s="67"/>
      <c r="N338" s="50"/>
      <c r="P338" s="92"/>
      <c r="AI338" s="91"/>
    </row>
    <row r="339" spans="1:35" s="32" customFormat="1" x14ac:dyDescent="0.25">
      <c r="A339" s="33" t="str">
        <f>IF(ISBLANK(E339),"",_xlfn.XLOOKUP(E339,Info!A:A,Info!B:B))</f>
        <v/>
      </c>
      <c r="B339" s="33"/>
      <c r="C339" s="33"/>
      <c r="D339" s="54"/>
      <c r="E339" s="91"/>
      <c r="F339" s="54"/>
      <c r="G339" s="33" t="str">
        <f>IF(ISBLANK(H339),"",_xlfn.XLOOKUP(H339,Info!A:A,Info!B:B))</f>
        <v/>
      </c>
      <c r="H339" s="98"/>
      <c r="I339" s="103"/>
      <c r="J339" s="33"/>
      <c r="K339" s="33"/>
      <c r="L339" s="33"/>
      <c r="M339" s="67"/>
      <c r="N339" s="50"/>
      <c r="P339" s="92"/>
      <c r="AI339" s="91"/>
    </row>
    <row r="340" spans="1:35" s="32" customFormat="1" x14ac:dyDescent="0.25">
      <c r="A340" s="33" t="str">
        <f>IF(ISBLANK(E340),"",_xlfn.XLOOKUP(E340,Info!A:A,Info!B:B))</f>
        <v/>
      </c>
      <c r="B340" s="33"/>
      <c r="C340" s="33"/>
      <c r="D340" s="54"/>
      <c r="E340" s="91"/>
      <c r="F340" s="54"/>
      <c r="G340" s="33" t="str">
        <f>IF(ISBLANK(H340),"",_xlfn.XLOOKUP(H340,Info!A:A,Info!B:B))</f>
        <v/>
      </c>
      <c r="H340" s="98"/>
      <c r="I340" s="103"/>
      <c r="J340" s="33"/>
      <c r="K340" s="33"/>
      <c r="L340" s="33"/>
      <c r="M340" s="67"/>
      <c r="N340" s="50"/>
      <c r="P340" s="92"/>
      <c r="AI340" s="91"/>
    </row>
    <row r="341" spans="1:35" s="32" customFormat="1" x14ac:dyDescent="0.25">
      <c r="A341" s="33" t="str">
        <f>IF(ISBLANK(E341),"",_xlfn.XLOOKUP(E341,Info!A:A,Info!B:B))</f>
        <v/>
      </c>
      <c r="B341" s="33"/>
      <c r="C341" s="33"/>
      <c r="D341" s="54"/>
      <c r="E341" s="91"/>
      <c r="F341" s="54"/>
      <c r="G341" s="33" t="str">
        <f>IF(ISBLANK(H341),"",_xlfn.XLOOKUP(H341,Info!A:A,Info!B:B))</f>
        <v/>
      </c>
      <c r="H341" s="98"/>
      <c r="I341" s="103"/>
      <c r="J341" s="33"/>
      <c r="K341" s="33"/>
      <c r="L341" s="33"/>
      <c r="M341" s="67"/>
      <c r="N341" s="50"/>
      <c r="P341" s="92"/>
      <c r="AI341" s="91"/>
    </row>
    <row r="342" spans="1:35" s="32" customFormat="1" x14ac:dyDescent="0.25">
      <c r="A342" s="33" t="str">
        <f>IF(ISBLANK(E342),"",_xlfn.XLOOKUP(E342,Info!A:A,Info!B:B))</f>
        <v/>
      </c>
      <c r="B342" s="33"/>
      <c r="C342" s="33"/>
      <c r="D342" s="54"/>
      <c r="E342" s="91"/>
      <c r="F342" s="54"/>
      <c r="G342" s="33" t="str">
        <f>IF(ISBLANK(H342),"",_xlfn.XLOOKUP(H342,Info!A:A,Info!B:B))</f>
        <v/>
      </c>
      <c r="H342" s="98"/>
      <c r="I342" s="103"/>
      <c r="J342" s="33"/>
      <c r="K342" s="33"/>
      <c r="L342" s="33"/>
      <c r="M342" s="67"/>
      <c r="N342" s="50"/>
      <c r="P342" s="92"/>
      <c r="AI342" s="91"/>
    </row>
    <row r="343" spans="1:35" s="32" customFormat="1" x14ac:dyDescent="0.25">
      <c r="A343" s="33" t="str">
        <f>IF(ISBLANK(E343),"",_xlfn.XLOOKUP(E343,Info!A:A,Info!B:B))</f>
        <v/>
      </c>
      <c r="B343" s="33"/>
      <c r="C343" s="33"/>
      <c r="D343" s="54"/>
      <c r="E343" s="91"/>
      <c r="F343" s="54"/>
      <c r="G343" s="33" t="str">
        <f>IF(ISBLANK(H343),"",_xlfn.XLOOKUP(H343,Info!A:A,Info!B:B))</f>
        <v/>
      </c>
      <c r="H343" s="98"/>
      <c r="I343" s="103"/>
      <c r="J343" s="33"/>
      <c r="K343" s="33"/>
      <c r="L343" s="33"/>
      <c r="M343" s="67"/>
      <c r="N343" s="50"/>
      <c r="P343" s="92"/>
      <c r="AI343" s="91"/>
    </row>
    <row r="344" spans="1:35" s="32" customFormat="1" x14ac:dyDescent="0.25">
      <c r="A344" s="33" t="str">
        <f>IF(ISBLANK(E344),"",_xlfn.XLOOKUP(E344,Info!A:A,Info!B:B))</f>
        <v/>
      </c>
      <c r="B344" s="33"/>
      <c r="C344" s="33"/>
      <c r="D344" s="54"/>
      <c r="E344" s="91"/>
      <c r="F344" s="54"/>
      <c r="G344" s="33" t="str">
        <f>IF(ISBLANK(H344),"",_xlfn.XLOOKUP(H344,Info!A:A,Info!B:B))</f>
        <v/>
      </c>
      <c r="H344" s="98"/>
      <c r="I344" s="103"/>
      <c r="J344" s="33"/>
      <c r="K344" s="33"/>
      <c r="L344" s="33"/>
      <c r="M344" s="67"/>
      <c r="N344" s="50"/>
      <c r="P344" s="92"/>
      <c r="AI344" s="91"/>
    </row>
    <row r="345" spans="1:35" s="32" customFormat="1" x14ac:dyDescent="0.25">
      <c r="A345" s="33" t="str">
        <f>IF(ISBLANK(E345),"",_xlfn.XLOOKUP(E345,Info!A:A,Info!B:B))</f>
        <v/>
      </c>
      <c r="B345" s="33"/>
      <c r="C345" s="33"/>
      <c r="D345" s="54"/>
      <c r="E345" s="91"/>
      <c r="F345" s="54"/>
      <c r="G345" s="33" t="str">
        <f>IF(ISBLANK(H345),"",_xlfn.XLOOKUP(H345,Info!A:A,Info!B:B))</f>
        <v/>
      </c>
      <c r="H345" s="98"/>
      <c r="I345" s="103"/>
      <c r="J345" s="33"/>
      <c r="K345" s="33"/>
      <c r="L345" s="33"/>
      <c r="M345" s="67"/>
      <c r="N345" s="50"/>
      <c r="P345" s="92"/>
      <c r="AI345" s="91"/>
    </row>
    <row r="346" spans="1:35" s="32" customFormat="1" x14ac:dyDescent="0.25">
      <c r="A346" s="33" t="str">
        <f>IF(ISBLANK(E346),"",_xlfn.XLOOKUP(E346,Info!A:A,Info!B:B))</f>
        <v/>
      </c>
      <c r="B346" s="33"/>
      <c r="C346" s="33"/>
      <c r="D346" s="54"/>
      <c r="E346" s="91"/>
      <c r="F346" s="54"/>
      <c r="G346" s="33" t="str">
        <f>IF(ISBLANK(H346),"",_xlfn.XLOOKUP(H346,Info!A:A,Info!B:B))</f>
        <v/>
      </c>
      <c r="H346" s="98"/>
      <c r="I346" s="103"/>
      <c r="J346" s="33"/>
      <c r="K346" s="33"/>
      <c r="L346" s="33"/>
      <c r="M346" s="67"/>
      <c r="N346" s="50"/>
      <c r="P346" s="92"/>
      <c r="AI346" s="91"/>
    </row>
    <row r="347" spans="1:35" s="32" customFormat="1" x14ac:dyDescent="0.25">
      <c r="A347" s="33" t="str">
        <f>IF(ISBLANK(E347),"",_xlfn.XLOOKUP(E347,Info!A:A,Info!B:B))</f>
        <v/>
      </c>
      <c r="B347" s="33"/>
      <c r="C347" s="33"/>
      <c r="D347" s="54"/>
      <c r="E347" s="91"/>
      <c r="F347" s="54"/>
      <c r="G347" s="33" t="str">
        <f>IF(ISBLANK(H347),"",_xlfn.XLOOKUP(H347,Info!A:A,Info!B:B))</f>
        <v/>
      </c>
      <c r="H347" s="98"/>
      <c r="I347" s="103"/>
      <c r="J347" s="33"/>
      <c r="K347" s="33"/>
      <c r="L347" s="33"/>
      <c r="M347" s="67"/>
      <c r="N347" s="50"/>
      <c r="P347" s="92"/>
      <c r="AI347" s="91"/>
    </row>
    <row r="348" spans="1:35" s="32" customFormat="1" x14ac:dyDescent="0.25">
      <c r="A348" s="33" t="str">
        <f>IF(ISBLANK(E348),"",_xlfn.XLOOKUP(E348,Info!A:A,Info!B:B))</f>
        <v/>
      </c>
      <c r="B348" s="33"/>
      <c r="C348" s="33"/>
      <c r="D348" s="54"/>
      <c r="E348" s="91"/>
      <c r="F348" s="54"/>
      <c r="G348" s="33" t="str">
        <f>IF(ISBLANK(H348),"",_xlfn.XLOOKUP(H348,Info!A:A,Info!B:B))</f>
        <v/>
      </c>
      <c r="H348" s="98"/>
      <c r="I348" s="103"/>
      <c r="J348" s="33"/>
      <c r="K348" s="33"/>
      <c r="L348" s="33"/>
      <c r="M348" s="67"/>
      <c r="N348" s="50"/>
      <c r="P348" s="92"/>
      <c r="AI348" s="91"/>
    </row>
    <row r="349" spans="1:35" s="32" customFormat="1" x14ac:dyDescent="0.25">
      <c r="A349" s="33" t="str">
        <f>IF(ISBLANK(E349),"",_xlfn.XLOOKUP(E349,Info!A:A,Info!B:B))</f>
        <v/>
      </c>
      <c r="B349" s="33"/>
      <c r="C349" s="33"/>
      <c r="D349" s="54"/>
      <c r="E349" s="91"/>
      <c r="F349" s="54"/>
      <c r="G349" s="33" t="str">
        <f>IF(ISBLANK(H349),"",_xlfn.XLOOKUP(H349,Info!A:A,Info!B:B))</f>
        <v/>
      </c>
      <c r="H349" s="98"/>
      <c r="I349" s="103"/>
      <c r="J349" s="33"/>
      <c r="K349" s="33"/>
      <c r="L349" s="33"/>
      <c r="M349" s="67"/>
      <c r="N349" s="50"/>
      <c r="P349" s="92"/>
      <c r="AI349" s="91"/>
    </row>
    <row r="350" spans="1:35" s="32" customFormat="1" x14ac:dyDescent="0.25">
      <c r="A350" s="33" t="str">
        <f>IF(ISBLANK(E350),"",_xlfn.XLOOKUP(E350,Info!A:A,Info!B:B))</f>
        <v/>
      </c>
      <c r="B350" s="33"/>
      <c r="C350" s="33"/>
      <c r="D350" s="54"/>
      <c r="E350" s="91"/>
      <c r="F350" s="54"/>
      <c r="G350" s="33" t="str">
        <f>IF(ISBLANK(H350),"",_xlfn.XLOOKUP(H350,Info!A:A,Info!B:B))</f>
        <v/>
      </c>
      <c r="H350" s="98"/>
      <c r="I350" s="103"/>
      <c r="J350" s="33"/>
      <c r="K350" s="33"/>
      <c r="L350" s="33"/>
      <c r="M350" s="67"/>
      <c r="N350" s="50"/>
      <c r="P350" s="92"/>
      <c r="AI350" s="91"/>
    </row>
    <row r="351" spans="1:35" s="32" customFormat="1" x14ac:dyDescent="0.25">
      <c r="A351" s="33" t="str">
        <f>IF(ISBLANK(E351),"",_xlfn.XLOOKUP(E351,Info!A:A,Info!B:B))</f>
        <v/>
      </c>
      <c r="B351" s="33"/>
      <c r="C351" s="33"/>
      <c r="D351" s="54"/>
      <c r="E351" s="91"/>
      <c r="F351" s="54"/>
      <c r="G351" s="33" t="str">
        <f>IF(ISBLANK(H351),"",_xlfn.XLOOKUP(H351,Info!A:A,Info!B:B))</f>
        <v/>
      </c>
      <c r="H351" s="98"/>
      <c r="I351" s="103"/>
      <c r="J351" s="33"/>
      <c r="K351" s="33"/>
      <c r="L351" s="33"/>
      <c r="M351" s="67"/>
      <c r="N351" s="50"/>
      <c r="P351" s="92"/>
      <c r="AI351" s="91"/>
    </row>
    <row r="352" spans="1:35" s="32" customFormat="1" x14ac:dyDescent="0.25">
      <c r="A352" s="33" t="str">
        <f>IF(ISBLANK(E352),"",_xlfn.XLOOKUP(E352,Info!A:A,Info!B:B))</f>
        <v/>
      </c>
      <c r="B352" s="33"/>
      <c r="C352" s="33"/>
      <c r="D352" s="54"/>
      <c r="E352" s="91"/>
      <c r="F352" s="54"/>
      <c r="G352" s="33" t="str">
        <f>IF(ISBLANK(H352),"",_xlfn.XLOOKUP(H352,Info!A:A,Info!B:B))</f>
        <v/>
      </c>
      <c r="H352" s="98"/>
      <c r="I352" s="103"/>
      <c r="J352" s="33"/>
      <c r="K352" s="33"/>
      <c r="L352" s="33"/>
      <c r="M352" s="67"/>
      <c r="N352" s="50"/>
      <c r="P352" s="92"/>
      <c r="AI352" s="91"/>
    </row>
    <row r="353" spans="1:35" s="32" customFormat="1" x14ac:dyDescent="0.25">
      <c r="A353" s="33" t="str">
        <f>IF(ISBLANK(E353),"",_xlfn.XLOOKUP(E353,Info!A:A,Info!B:B))</f>
        <v/>
      </c>
      <c r="B353" s="33"/>
      <c r="C353" s="33"/>
      <c r="D353" s="54"/>
      <c r="E353" s="91"/>
      <c r="F353" s="54"/>
      <c r="G353" s="33" t="str">
        <f>IF(ISBLANK(H353),"",_xlfn.XLOOKUP(H353,Info!A:A,Info!B:B))</f>
        <v/>
      </c>
      <c r="H353" s="98"/>
      <c r="I353" s="103"/>
      <c r="J353" s="33"/>
      <c r="K353" s="33"/>
      <c r="L353" s="33"/>
      <c r="M353" s="67"/>
      <c r="N353" s="50"/>
      <c r="P353" s="92"/>
      <c r="AI353" s="91"/>
    </row>
    <row r="354" spans="1:35" s="32" customFormat="1" x14ac:dyDescent="0.25">
      <c r="A354" s="33" t="str">
        <f>IF(ISBLANK(E354),"",_xlfn.XLOOKUP(E354,Info!A:A,Info!B:B))</f>
        <v/>
      </c>
      <c r="B354" s="33"/>
      <c r="C354" s="33"/>
      <c r="D354" s="54"/>
      <c r="E354" s="91"/>
      <c r="F354" s="54"/>
      <c r="G354" s="33" t="str">
        <f>IF(ISBLANK(H354),"",_xlfn.XLOOKUP(H354,Info!A:A,Info!B:B))</f>
        <v/>
      </c>
      <c r="H354" s="98"/>
      <c r="I354" s="103"/>
      <c r="J354" s="33"/>
      <c r="K354" s="33"/>
      <c r="L354" s="33"/>
      <c r="M354" s="67"/>
      <c r="N354" s="50"/>
      <c r="P354" s="92"/>
      <c r="AI354" s="91"/>
    </row>
    <row r="355" spans="1:35" s="32" customFormat="1" x14ac:dyDescent="0.25">
      <c r="A355" s="33" t="str">
        <f>IF(ISBLANK(E355),"",_xlfn.XLOOKUP(E355,Info!A:A,Info!B:B))</f>
        <v/>
      </c>
      <c r="B355" s="33"/>
      <c r="C355" s="33"/>
      <c r="D355" s="54"/>
      <c r="E355" s="91"/>
      <c r="F355" s="54"/>
      <c r="G355" s="33" t="str">
        <f>IF(ISBLANK(H355),"",_xlfn.XLOOKUP(H355,Info!A:A,Info!B:B))</f>
        <v/>
      </c>
      <c r="H355" s="98"/>
      <c r="I355" s="103"/>
      <c r="J355" s="33"/>
      <c r="K355" s="33"/>
      <c r="L355" s="33"/>
      <c r="M355" s="67"/>
      <c r="N355" s="50"/>
      <c r="P355" s="92"/>
      <c r="AI355" s="91"/>
    </row>
    <row r="356" spans="1:35" s="32" customFormat="1" x14ac:dyDescent="0.25">
      <c r="A356" s="33" t="str">
        <f>IF(ISBLANK(E356),"",_xlfn.XLOOKUP(E356,Info!A:A,Info!B:B))</f>
        <v/>
      </c>
      <c r="B356" s="33"/>
      <c r="C356" s="33"/>
      <c r="D356" s="54"/>
      <c r="E356" s="91"/>
      <c r="F356" s="54"/>
      <c r="G356" s="33" t="str">
        <f>IF(ISBLANK(H356),"",_xlfn.XLOOKUP(H356,Info!A:A,Info!B:B))</f>
        <v/>
      </c>
      <c r="H356" s="98"/>
      <c r="I356" s="103"/>
      <c r="J356" s="33"/>
      <c r="K356" s="33"/>
      <c r="L356" s="33"/>
      <c r="M356" s="67"/>
      <c r="N356" s="50"/>
      <c r="P356" s="92"/>
      <c r="AI356" s="91"/>
    </row>
    <row r="357" spans="1:35" s="32" customFormat="1" x14ac:dyDescent="0.25">
      <c r="A357" s="33" t="str">
        <f>IF(ISBLANK(E357),"",_xlfn.XLOOKUP(E357,Info!A:A,Info!B:B))</f>
        <v/>
      </c>
      <c r="B357" s="33"/>
      <c r="C357" s="33"/>
      <c r="D357" s="54"/>
      <c r="E357" s="91"/>
      <c r="F357" s="54"/>
      <c r="G357" s="33" t="str">
        <f>IF(ISBLANK(H357),"",_xlfn.XLOOKUP(H357,Info!A:A,Info!B:B))</f>
        <v/>
      </c>
      <c r="H357" s="98"/>
      <c r="I357" s="103"/>
      <c r="J357" s="33"/>
      <c r="K357" s="33"/>
      <c r="L357" s="33"/>
      <c r="M357" s="67"/>
      <c r="N357" s="50"/>
      <c r="P357" s="92"/>
      <c r="AI357" s="91"/>
    </row>
    <row r="358" spans="1:35" s="32" customFormat="1" x14ac:dyDescent="0.25">
      <c r="A358" s="33" t="str">
        <f>IF(ISBLANK(E358),"",_xlfn.XLOOKUP(E358,Info!A:A,Info!B:B))</f>
        <v/>
      </c>
      <c r="B358" s="33"/>
      <c r="C358" s="33"/>
      <c r="D358" s="54"/>
      <c r="E358" s="91"/>
      <c r="F358" s="54"/>
      <c r="G358" s="33" t="str">
        <f>IF(ISBLANK(H358),"",_xlfn.XLOOKUP(H358,Info!A:A,Info!B:B))</f>
        <v/>
      </c>
      <c r="H358" s="98"/>
      <c r="I358" s="103"/>
      <c r="J358" s="33"/>
      <c r="K358" s="33"/>
      <c r="L358" s="33"/>
      <c r="M358" s="67"/>
      <c r="N358" s="50"/>
      <c r="P358" s="92"/>
      <c r="AI358" s="91"/>
    </row>
    <row r="359" spans="1:35" s="32" customFormat="1" x14ac:dyDescent="0.25">
      <c r="A359" s="33" t="str">
        <f>IF(ISBLANK(E359),"",_xlfn.XLOOKUP(E359,Info!A:A,Info!B:B))</f>
        <v/>
      </c>
      <c r="B359" s="33"/>
      <c r="C359" s="33"/>
      <c r="D359" s="54"/>
      <c r="E359" s="91"/>
      <c r="F359" s="54"/>
      <c r="G359" s="33" t="str">
        <f>IF(ISBLANK(H359),"",_xlfn.XLOOKUP(H359,Info!A:A,Info!B:B))</f>
        <v/>
      </c>
      <c r="H359" s="98"/>
      <c r="I359" s="103"/>
      <c r="J359" s="33"/>
      <c r="K359" s="33"/>
      <c r="L359" s="33"/>
      <c r="M359" s="67"/>
      <c r="N359" s="50"/>
      <c r="P359" s="92"/>
      <c r="AI359" s="91"/>
    </row>
    <row r="360" spans="1:35" s="32" customFormat="1" x14ac:dyDescent="0.25">
      <c r="A360" s="33" t="str">
        <f>IF(ISBLANK(E360),"",_xlfn.XLOOKUP(E360,Info!A:A,Info!B:B))</f>
        <v/>
      </c>
      <c r="B360" s="33"/>
      <c r="C360" s="33"/>
      <c r="D360" s="54"/>
      <c r="E360" s="91"/>
      <c r="F360" s="54"/>
      <c r="G360" s="33" t="str">
        <f>IF(ISBLANK(H360),"",_xlfn.XLOOKUP(H360,Info!A:A,Info!B:B))</f>
        <v/>
      </c>
      <c r="H360" s="98"/>
      <c r="I360" s="103"/>
      <c r="J360" s="33"/>
      <c r="K360" s="33"/>
      <c r="L360" s="33"/>
      <c r="M360" s="67"/>
      <c r="N360" s="50"/>
      <c r="P360" s="92"/>
      <c r="AI360" s="91"/>
    </row>
    <row r="361" spans="1:35" s="32" customFormat="1" x14ac:dyDescent="0.25">
      <c r="A361" s="33" t="str">
        <f>IF(ISBLANK(E361),"",_xlfn.XLOOKUP(E361,Info!A:A,Info!B:B))</f>
        <v/>
      </c>
      <c r="B361" s="33"/>
      <c r="C361" s="33"/>
      <c r="D361" s="54"/>
      <c r="E361" s="91"/>
      <c r="F361" s="54"/>
      <c r="G361" s="33" t="str">
        <f>IF(ISBLANK(H361),"",_xlfn.XLOOKUP(H361,Info!A:A,Info!B:B))</f>
        <v/>
      </c>
      <c r="H361" s="98"/>
      <c r="I361" s="103"/>
      <c r="J361" s="33"/>
      <c r="K361" s="33"/>
      <c r="L361" s="33"/>
      <c r="M361" s="67"/>
      <c r="N361" s="50"/>
      <c r="P361" s="92"/>
      <c r="AI361" s="91"/>
    </row>
    <row r="362" spans="1:35" s="32" customFormat="1" x14ac:dyDescent="0.25">
      <c r="A362" s="33" t="str">
        <f>IF(ISBLANK(E362),"",_xlfn.XLOOKUP(E362,Info!A:A,Info!B:B))</f>
        <v/>
      </c>
      <c r="B362" s="33"/>
      <c r="C362" s="33"/>
      <c r="D362" s="54"/>
      <c r="E362" s="91"/>
      <c r="F362" s="54"/>
      <c r="G362" s="33" t="str">
        <f>IF(ISBLANK(H362),"",_xlfn.XLOOKUP(H362,Info!A:A,Info!B:B))</f>
        <v/>
      </c>
      <c r="H362" s="98"/>
      <c r="I362" s="103"/>
      <c r="J362" s="33"/>
      <c r="K362" s="33"/>
      <c r="L362" s="33"/>
      <c r="M362" s="67"/>
      <c r="N362" s="50"/>
      <c r="P362" s="92"/>
      <c r="AI362" s="91"/>
    </row>
    <row r="363" spans="1:35" s="32" customFormat="1" x14ac:dyDescent="0.25">
      <c r="A363" s="33" t="str">
        <f>IF(ISBLANK(E363),"",_xlfn.XLOOKUP(E363,Info!A:A,Info!B:B))</f>
        <v/>
      </c>
      <c r="B363" s="33"/>
      <c r="C363" s="33"/>
      <c r="D363" s="54"/>
      <c r="E363" s="91"/>
      <c r="F363" s="54"/>
      <c r="G363" s="33" t="str">
        <f>IF(ISBLANK(H363),"",_xlfn.XLOOKUP(H363,Info!A:A,Info!B:B))</f>
        <v/>
      </c>
      <c r="H363" s="98"/>
      <c r="I363" s="103"/>
      <c r="J363" s="33"/>
      <c r="K363" s="33"/>
      <c r="L363" s="33"/>
      <c r="M363" s="67"/>
      <c r="N363" s="50"/>
      <c r="P363" s="92"/>
      <c r="AI363" s="91"/>
    </row>
    <row r="364" spans="1:35" s="32" customFormat="1" x14ac:dyDescent="0.25">
      <c r="A364" s="33" t="str">
        <f>IF(ISBLANK(E364),"",_xlfn.XLOOKUP(E364,Info!A:A,Info!B:B))</f>
        <v/>
      </c>
      <c r="B364" s="33"/>
      <c r="C364" s="33"/>
      <c r="D364" s="54"/>
      <c r="E364" s="91"/>
      <c r="F364" s="54"/>
      <c r="G364" s="33" t="str">
        <f>IF(ISBLANK(H364),"",_xlfn.XLOOKUP(H364,Info!A:A,Info!B:B))</f>
        <v/>
      </c>
      <c r="H364" s="98"/>
      <c r="I364" s="103"/>
      <c r="J364" s="33"/>
      <c r="K364" s="33"/>
      <c r="L364" s="33"/>
      <c r="M364" s="67"/>
      <c r="N364" s="50"/>
      <c r="P364" s="92"/>
      <c r="AI364" s="91"/>
    </row>
    <row r="365" spans="1:35" s="32" customFormat="1" x14ac:dyDescent="0.25">
      <c r="A365" s="33" t="str">
        <f>IF(ISBLANK(E365),"",_xlfn.XLOOKUP(E365,Info!A:A,Info!B:B))</f>
        <v/>
      </c>
      <c r="B365" s="33"/>
      <c r="C365" s="33"/>
      <c r="D365" s="54"/>
      <c r="E365" s="91"/>
      <c r="F365" s="54"/>
      <c r="G365" s="33" t="str">
        <f>IF(ISBLANK(H365),"",_xlfn.XLOOKUP(H365,Info!A:A,Info!B:B))</f>
        <v/>
      </c>
      <c r="H365" s="98"/>
      <c r="I365" s="103"/>
      <c r="J365" s="33"/>
      <c r="K365" s="33"/>
      <c r="L365" s="33"/>
      <c r="M365" s="67"/>
      <c r="N365" s="50"/>
      <c r="P365" s="92"/>
      <c r="AI365" s="91"/>
    </row>
    <row r="366" spans="1:35" s="32" customFormat="1" x14ac:dyDescent="0.25">
      <c r="A366" s="33" t="str">
        <f>IF(ISBLANK(E366),"",_xlfn.XLOOKUP(E366,Info!A:A,Info!B:B))</f>
        <v/>
      </c>
      <c r="B366" s="33"/>
      <c r="C366" s="33"/>
      <c r="D366" s="54"/>
      <c r="E366" s="91"/>
      <c r="F366" s="54"/>
      <c r="G366" s="33" t="str">
        <f>IF(ISBLANK(H366),"",_xlfn.XLOOKUP(H366,Info!A:A,Info!B:B))</f>
        <v/>
      </c>
      <c r="H366" s="98"/>
      <c r="I366" s="103"/>
      <c r="J366" s="33"/>
      <c r="K366" s="33"/>
      <c r="L366" s="33"/>
      <c r="M366" s="67"/>
      <c r="N366" s="50"/>
      <c r="P366" s="92"/>
      <c r="AI366" s="91"/>
    </row>
    <row r="367" spans="1:35" s="32" customFormat="1" x14ac:dyDescent="0.25">
      <c r="A367" s="33" t="str">
        <f>IF(ISBLANK(E367),"",_xlfn.XLOOKUP(E367,Info!A:A,Info!B:B))</f>
        <v/>
      </c>
      <c r="B367" s="33"/>
      <c r="C367" s="33"/>
      <c r="D367" s="54"/>
      <c r="E367" s="91"/>
      <c r="F367" s="54"/>
      <c r="G367" s="33" t="str">
        <f>IF(ISBLANK(H367),"",_xlfn.XLOOKUP(H367,Info!A:A,Info!B:B))</f>
        <v/>
      </c>
      <c r="H367" s="98"/>
      <c r="I367" s="103"/>
      <c r="J367" s="33"/>
      <c r="K367" s="33"/>
      <c r="L367" s="33"/>
      <c r="M367" s="67"/>
      <c r="N367" s="50"/>
      <c r="P367" s="92"/>
      <c r="AI367" s="91"/>
    </row>
    <row r="368" spans="1:35" s="32" customFormat="1" x14ac:dyDescent="0.25">
      <c r="A368" s="33" t="str">
        <f>IF(ISBLANK(E368),"",_xlfn.XLOOKUP(E368,Info!A:A,Info!B:B))</f>
        <v/>
      </c>
      <c r="B368" s="33"/>
      <c r="C368" s="33"/>
      <c r="D368" s="54"/>
      <c r="E368" s="91"/>
      <c r="F368" s="54"/>
      <c r="G368" s="33" t="str">
        <f>IF(ISBLANK(H368),"",_xlfn.XLOOKUP(H368,Info!A:A,Info!B:B))</f>
        <v/>
      </c>
      <c r="H368" s="98"/>
      <c r="I368" s="103"/>
      <c r="J368" s="33"/>
      <c r="K368" s="33"/>
      <c r="L368" s="33"/>
      <c r="M368" s="67"/>
      <c r="N368" s="50"/>
      <c r="P368" s="92"/>
      <c r="AI368" s="91"/>
    </row>
    <row r="369" spans="1:35" s="32" customFormat="1" x14ac:dyDescent="0.25">
      <c r="A369" s="33" t="str">
        <f>IF(ISBLANK(E369),"",_xlfn.XLOOKUP(E369,Info!A:A,Info!B:B))</f>
        <v/>
      </c>
      <c r="B369" s="33"/>
      <c r="C369" s="33"/>
      <c r="D369" s="54"/>
      <c r="E369" s="91"/>
      <c r="F369" s="54"/>
      <c r="G369" s="33" t="str">
        <f>IF(ISBLANK(H369),"",_xlfn.XLOOKUP(H369,Info!A:A,Info!B:B))</f>
        <v/>
      </c>
      <c r="H369" s="98"/>
      <c r="I369" s="103"/>
      <c r="J369" s="33"/>
      <c r="K369" s="33"/>
      <c r="L369" s="33"/>
      <c r="M369" s="67"/>
      <c r="N369" s="50"/>
      <c r="P369" s="92"/>
      <c r="AI369" s="91"/>
    </row>
    <row r="370" spans="1:35" s="32" customFormat="1" x14ac:dyDescent="0.25">
      <c r="A370" s="33" t="str">
        <f>IF(ISBLANK(E370),"",_xlfn.XLOOKUP(E370,Info!A:A,Info!B:B))</f>
        <v/>
      </c>
      <c r="B370" s="33"/>
      <c r="C370" s="33"/>
      <c r="D370" s="54"/>
      <c r="E370" s="91"/>
      <c r="F370" s="54"/>
      <c r="G370" s="33" t="str">
        <f>IF(ISBLANK(H370),"",_xlfn.XLOOKUP(H370,Info!A:A,Info!B:B))</f>
        <v/>
      </c>
      <c r="H370" s="98"/>
      <c r="I370" s="103"/>
      <c r="J370" s="33"/>
      <c r="K370" s="33"/>
      <c r="L370" s="33"/>
      <c r="M370" s="67"/>
      <c r="N370" s="50"/>
      <c r="P370" s="92"/>
      <c r="AI370" s="91"/>
    </row>
    <row r="371" spans="1:35" s="32" customFormat="1" x14ac:dyDescent="0.25">
      <c r="A371" s="33" t="str">
        <f>IF(ISBLANK(E371),"",_xlfn.XLOOKUP(E371,Info!A:A,Info!B:B))</f>
        <v/>
      </c>
      <c r="B371" s="33"/>
      <c r="C371" s="33"/>
      <c r="D371" s="54"/>
      <c r="E371" s="91"/>
      <c r="F371" s="54"/>
      <c r="G371" s="33" t="str">
        <f>IF(ISBLANK(H371),"",_xlfn.XLOOKUP(H371,Info!A:A,Info!B:B))</f>
        <v/>
      </c>
      <c r="H371" s="98"/>
      <c r="I371" s="103"/>
      <c r="J371" s="33"/>
      <c r="K371" s="33"/>
      <c r="L371" s="33"/>
      <c r="M371" s="67"/>
      <c r="N371" s="50"/>
      <c r="P371" s="92"/>
      <c r="AI371" s="91"/>
    </row>
    <row r="372" spans="1:35" s="32" customFormat="1" x14ac:dyDescent="0.25">
      <c r="A372" s="33" t="str">
        <f>IF(ISBLANK(E372),"",_xlfn.XLOOKUP(E372,Info!A:A,Info!B:B))</f>
        <v/>
      </c>
      <c r="B372" s="33"/>
      <c r="C372" s="33"/>
      <c r="D372" s="54"/>
      <c r="E372" s="91"/>
      <c r="F372" s="54"/>
      <c r="G372" s="33" t="str">
        <f>IF(ISBLANK(H372),"",_xlfn.XLOOKUP(H372,Info!A:A,Info!B:B))</f>
        <v/>
      </c>
      <c r="H372" s="98"/>
      <c r="I372" s="103"/>
      <c r="J372" s="33"/>
      <c r="K372" s="33"/>
      <c r="L372" s="33"/>
      <c r="M372" s="67"/>
      <c r="N372" s="50"/>
      <c r="P372" s="92"/>
      <c r="AI372" s="91"/>
    </row>
    <row r="373" spans="1:35" s="32" customFormat="1" x14ac:dyDescent="0.25">
      <c r="A373" s="33" t="str">
        <f>IF(ISBLANK(E373),"",_xlfn.XLOOKUP(E373,Info!A:A,Info!B:B))</f>
        <v/>
      </c>
      <c r="B373" s="33"/>
      <c r="C373" s="33"/>
      <c r="D373" s="54"/>
      <c r="E373" s="91"/>
      <c r="F373" s="54"/>
      <c r="G373" s="33" t="str">
        <f>IF(ISBLANK(H373),"",_xlfn.XLOOKUP(H373,Info!A:A,Info!B:B))</f>
        <v/>
      </c>
      <c r="H373" s="98"/>
      <c r="I373" s="103"/>
      <c r="J373" s="33"/>
      <c r="K373" s="33"/>
      <c r="L373" s="33"/>
      <c r="M373" s="67"/>
      <c r="N373" s="50"/>
      <c r="P373" s="92"/>
      <c r="AI373" s="91"/>
    </row>
    <row r="374" spans="1:35" s="32" customFormat="1" x14ac:dyDescent="0.25">
      <c r="A374" s="33" t="str">
        <f>IF(ISBLANK(E374),"",_xlfn.XLOOKUP(E374,Info!A:A,Info!B:B))</f>
        <v/>
      </c>
      <c r="B374" s="33"/>
      <c r="C374" s="33"/>
      <c r="D374" s="54"/>
      <c r="E374" s="91"/>
      <c r="F374" s="54"/>
      <c r="G374" s="33" t="str">
        <f>IF(ISBLANK(H374),"",_xlfn.XLOOKUP(H374,Info!A:A,Info!B:B))</f>
        <v/>
      </c>
      <c r="H374" s="98"/>
      <c r="I374" s="103"/>
      <c r="J374" s="33"/>
      <c r="K374" s="33"/>
      <c r="L374" s="33"/>
      <c r="M374" s="67"/>
      <c r="N374" s="50"/>
      <c r="P374" s="92"/>
      <c r="AI374" s="91"/>
    </row>
    <row r="375" spans="1:35" s="32" customFormat="1" x14ac:dyDescent="0.25">
      <c r="A375" s="33" t="str">
        <f>IF(ISBLANK(E375),"",_xlfn.XLOOKUP(E375,Info!A:A,Info!B:B))</f>
        <v/>
      </c>
      <c r="B375" s="33"/>
      <c r="C375" s="33"/>
      <c r="D375" s="54"/>
      <c r="E375" s="91"/>
      <c r="F375" s="54"/>
      <c r="G375" s="33" t="str">
        <f>IF(ISBLANK(H375),"",_xlfn.XLOOKUP(H375,Info!A:A,Info!B:B))</f>
        <v/>
      </c>
      <c r="H375" s="98"/>
      <c r="I375" s="103"/>
      <c r="J375" s="33"/>
      <c r="K375" s="33"/>
      <c r="L375" s="33"/>
      <c r="M375" s="67"/>
      <c r="N375" s="50"/>
      <c r="P375" s="92"/>
      <c r="AI375" s="91"/>
    </row>
    <row r="376" spans="1:35" s="32" customFormat="1" x14ac:dyDescent="0.25">
      <c r="A376" s="33" t="str">
        <f>IF(ISBLANK(E376),"",_xlfn.XLOOKUP(E376,Info!A:A,Info!B:B))</f>
        <v/>
      </c>
      <c r="B376" s="33"/>
      <c r="C376" s="33"/>
      <c r="D376" s="54"/>
      <c r="E376" s="91"/>
      <c r="F376" s="54"/>
      <c r="G376" s="33" t="str">
        <f>IF(ISBLANK(H376),"",_xlfn.XLOOKUP(H376,Info!A:A,Info!B:B))</f>
        <v/>
      </c>
      <c r="H376" s="98"/>
      <c r="I376" s="103"/>
      <c r="J376" s="33"/>
      <c r="K376" s="33"/>
      <c r="L376" s="33"/>
      <c r="M376" s="67"/>
      <c r="N376" s="50"/>
      <c r="P376" s="92"/>
      <c r="AI376" s="91"/>
    </row>
    <row r="377" spans="1:35" s="32" customFormat="1" x14ac:dyDescent="0.25">
      <c r="A377" s="33" t="str">
        <f>IF(ISBLANK(E377),"",_xlfn.XLOOKUP(E377,Info!A:A,Info!B:B))</f>
        <v/>
      </c>
      <c r="B377" s="33"/>
      <c r="C377" s="33"/>
      <c r="D377" s="54"/>
      <c r="E377" s="91"/>
      <c r="F377" s="54"/>
      <c r="G377" s="33" t="str">
        <f>IF(ISBLANK(H377),"",_xlfn.XLOOKUP(H377,Info!A:A,Info!B:B))</f>
        <v/>
      </c>
      <c r="H377" s="98"/>
      <c r="I377" s="103"/>
      <c r="J377" s="33"/>
      <c r="K377" s="33"/>
      <c r="L377" s="33"/>
      <c r="M377" s="67"/>
      <c r="N377" s="50"/>
      <c r="P377" s="92"/>
      <c r="AI377" s="91"/>
    </row>
    <row r="378" spans="1:35" s="32" customFormat="1" x14ac:dyDescent="0.25">
      <c r="A378" s="33" t="str">
        <f>IF(ISBLANK(E378),"",_xlfn.XLOOKUP(E378,Info!A:A,Info!B:B))</f>
        <v/>
      </c>
      <c r="B378" s="33"/>
      <c r="C378" s="33"/>
      <c r="D378" s="54"/>
      <c r="E378" s="91"/>
      <c r="F378" s="54"/>
      <c r="G378" s="33" t="str">
        <f>IF(ISBLANK(H378),"",_xlfn.XLOOKUP(H378,Info!A:A,Info!B:B))</f>
        <v/>
      </c>
      <c r="H378" s="98"/>
      <c r="I378" s="103"/>
      <c r="J378" s="33"/>
      <c r="K378" s="33"/>
      <c r="L378" s="33"/>
      <c r="M378" s="67"/>
      <c r="N378" s="50"/>
      <c r="P378" s="92"/>
      <c r="AI378" s="91"/>
    </row>
    <row r="379" spans="1:35" s="32" customFormat="1" x14ac:dyDescent="0.25">
      <c r="A379" s="33" t="str">
        <f>IF(ISBLANK(E379),"",_xlfn.XLOOKUP(E379,Info!A:A,Info!B:B))</f>
        <v/>
      </c>
      <c r="B379" s="33"/>
      <c r="C379" s="33"/>
      <c r="D379" s="54"/>
      <c r="E379" s="91"/>
      <c r="F379" s="54"/>
      <c r="G379" s="33" t="str">
        <f>IF(ISBLANK(H379),"",_xlfn.XLOOKUP(H379,Info!A:A,Info!B:B))</f>
        <v/>
      </c>
      <c r="H379" s="98"/>
      <c r="I379" s="103"/>
      <c r="J379" s="33"/>
      <c r="K379" s="33"/>
      <c r="L379" s="33"/>
      <c r="M379" s="67"/>
      <c r="N379" s="50"/>
      <c r="P379" s="92"/>
      <c r="AI379" s="91"/>
    </row>
    <row r="380" spans="1:35" s="32" customFormat="1" x14ac:dyDescent="0.25">
      <c r="A380" s="33" t="str">
        <f>IF(ISBLANK(E380),"",_xlfn.XLOOKUP(E380,Info!A:A,Info!B:B))</f>
        <v/>
      </c>
      <c r="B380" s="33"/>
      <c r="C380" s="33"/>
      <c r="D380" s="54"/>
      <c r="E380" s="91"/>
      <c r="F380" s="54"/>
      <c r="G380" s="33" t="str">
        <f>IF(ISBLANK(H380),"",_xlfn.XLOOKUP(H380,Info!A:A,Info!B:B))</f>
        <v/>
      </c>
      <c r="H380" s="98"/>
      <c r="I380" s="103"/>
      <c r="J380" s="33"/>
      <c r="K380" s="33"/>
      <c r="L380" s="33"/>
      <c r="M380" s="67"/>
      <c r="N380" s="50"/>
      <c r="P380" s="92"/>
      <c r="AI380" s="91"/>
    </row>
    <row r="381" spans="1:35" s="32" customFormat="1" x14ac:dyDescent="0.25">
      <c r="A381" s="33" t="str">
        <f>IF(ISBLANK(E381),"",_xlfn.XLOOKUP(E381,Info!A:A,Info!B:B))</f>
        <v/>
      </c>
      <c r="B381" s="33"/>
      <c r="C381" s="33"/>
      <c r="D381" s="54"/>
      <c r="E381" s="91"/>
      <c r="F381" s="54"/>
      <c r="G381" s="33" t="str">
        <f>IF(ISBLANK(H381),"",_xlfn.XLOOKUP(H381,Info!A:A,Info!B:B))</f>
        <v/>
      </c>
      <c r="H381" s="98"/>
      <c r="I381" s="103"/>
      <c r="J381" s="33"/>
      <c r="K381" s="33"/>
      <c r="L381" s="33"/>
      <c r="M381" s="67"/>
      <c r="N381" s="50"/>
      <c r="P381" s="92"/>
      <c r="AI381" s="91"/>
    </row>
    <row r="382" spans="1:35" s="32" customFormat="1" x14ac:dyDescent="0.25">
      <c r="A382" s="33" t="str">
        <f>IF(ISBLANK(E382),"",_xlfn.XLOOKUP(E382,Info!A:A,Info!B:B))</f>
        <v/>
      </c>
      <c r="B382" s="33"/>
      <c r="C382" s="33"/>
      <c r="D382" s="54"/>
      <c r="E382" s="91"/>
      <c r="F382" s="54"/>
      <c r="G382" s="33" t="str">
        <f>IF(ISBLANK(H382),"",_xlfn.XLOOKUP(H382,Info!A:A,Info!B:B))</f>
        <v/>
      </c>
      <c r="H382" s="98"/>
      <c r="I382" s="103"/>
      <c r="J382" s="33"/>
      <c r="K382" s="33"/>
      <c r="L382" s="33"/>
      <c r="M382" s="67"/>
      <c r="N382" s="50"/>
      <c r="P382" s="92"/>
      <c r="AI382" s="91"/>
    </row>
    <row r="383" spans="1:35" s="32" customFormat="1" x14ac:dyDescent="0.25">
      <c r="A383" s="33" t="str">
        <f>IF(ISBLANK(E383),"",_xlfn.XLOOKUP(E383,Info!A:A,Info!B:B))</f>
        <v/>
      </c>
      <c r="B383" s="33"/>
      <c r="C383" s="33"/>
      <c r="D383" s="54"/>
      <c r="E383" s="91"/>
      <c r="F383" s="54"/>
      <c r="G383" s="33" t="str">
        <f>IF(ISBLANK(H383),"",_xlfn.XLOOKUP(H383,Info!A:A,Info!B:B))</f>
        <v/>
      </c>
      <c r="H383" s="98"/>
      <c r="I383" s="103"/>
      <c r="J383" s="33"/>
      <c r="K383" s="33"/>
      <c r="L383" s="33"/>
      <c r="M383" s="67"/>
      <c r="N383" s="50"/>
      <c r="P383" s="92"/>
      <c r="AI383" s="91"/>
    </row>
    <row r="384" spans="1:35" s="32" customFormat="1" x14ac:dyDescent="0.25">
      <c r="A384" s="33" t="str">
        <f>IF(ISBLANK(E384),"",_xlfn.XLOOKUP(E384,Info!A:A,Info!B:B))</f>
        <v/>
      </c>
      <c r="B384" s="33"/>
      <c r="C384" s="33"/>
      <c r="D384" s="54"/>
      <c r="E384" s="91"/>
      <c r="F384" s="54"/>
      <c r="G384" s="33" t="str">
        <f>IF(ISBLANK(H384),"",_xlfn.XLOOKUP(H384,Info!A:A,Info!B:B))</f>
        <v/>
      </c>
      <c r="H384" s="98"/>
      <c r="I384" s="103"/>
      <c r="J384" s="33"/>
      <c r="K384" s="33"/>
      <c r="L384" s="33"/>
      <c r="M384" s="67"/>
      <c r="N384" s="50"/>
      <c r="P384" s="92"/>
      <c r="AI384" s="91"/>
    </row>
    <row r="385" spans="1:35" s="32" customFormat="1" x14ac:dyDescent="0.25">
      <c r="A385" s="33" t="str">
        <f>IF(ISBLANK(E385),"",_xlfn.XLOOKUP(E385,Info!A:A,Info!B:B))</f>
        <v/>
      </c>
      <c r="B385" s="33"/>
      <c r="C385" s="33"/>
      <c r="D385" s="54"/>
      <c r="E385" s="91"/>
      <c r="F385" s="54"/>
      <c r="G385" s="33" t="str">
        <f>IF(ISBLANK(H385),"",_xlfn.XLOOKUP(H385,Info!A:A,Info!B:B))</f>
        <v/>
      </c>
      <c r="H385" s="98"/>
      <c r="I385" s="103"/>
      <c r="J385" s="33"/>
      <c r="K385" s="33"/>
      <c r="L385" s="33"/>
      <c r="M385" s="67"/>
      <c r="N385" s="50"/>
      <c r="P385" s="92"/>
      <c r="AI385" s="91"/>
    </row>
    <row r="386" spans="1:35" s="32" customFormat="1" x14ac:dyDescent="0.25">
      <c r="A386" s="33" t="str">
        <f>IF(ISBLANK(E386),"",_xlfn.XLOOKUP(E386,Info!A:A,Info!B:B))</f>
        <v/>
      </c>
      <c r="B386" s="33"/>
      <c r="C386" s="33"/>
      <c r="D386" s="54"/>
      <c r="E386" s="91"/>
      <c r="F386" s="54"/>
      <c r="G386" s="33" t="str">
        <f>IF(ISBLANK(H386),"",_xlfn.XLOOKUP(H386,Info!A:A,Info!B:B))</f>
        <v/>
      </c>
      <c r="H386" s="98"/>
      <c r="I386" s="103"/>
      <c r="J386" s="33"/>
      <c r="K386" s="33"/>
      <c r="L386" s="33"/>
      <c r="M386" s="67"/>
      <c r="N386" s="50"/>
      <c r="P386" s="92"/>
      <c r="AI386" s="91"/>
    </row>
    <row r="387" spans="1:35" s="32" customFormat="1" x14ac:dyDescent="0.25">
      <c r="A387" s="33" t="str">
        <f>IF(ISBLANK(E387),"",_xlfn.XLOOKUP(E387,Info!A:A,Info!B:B))</f>
        <v/>
      </c>
      <c r="B387" s="33"/>
      <c r="C387" s="33"/>
      <c r="D387" s="54"/>
      <c r="E387" s="91"/>
      <c r="F387" s="54"/>
      <c r="G387" s="33" t="str">
        <f>IF(ISBLANK(H387),"",_xlfn.XLOOKUP(H387,Info!A:A,Info!B:B))</f>
        <v/>
      </c>
      <c r="H387" s="98"/>
      <c r="I387" s="103"/>
      <c r="J387" s="33"/>
      <c r="K387" s="33"/>
      <c r="L387" s="33"/>
      <c r="M387" s="67"/>
      <c r="N387" s="50"/>
      <c r="P387" s="92"/>
      <c r="AI387" s="91"/>
    </row>
    <row r="388" spans="1:35" s="32" customFormat="1" x14ac:dyDescent="0.25">
      <c r="A388" s="33" t="str">
        <f>IF(ISBLANK(E388),"",_xlfn.XLOOKUP(E388,Info!A:A,Info!B:B))</f>
        <v/>
      </c>
      <c r="B388" s="33"/>
      <c r="C388" s="33"/>
      <c r="D388" s="54"/>
      <c r="E388" s="91"/>
      <c r="F388" s="54"/>
      <c r="G388" s="33" t="str">
        <f>IF(ISBLANK(H388),"",_xlfn.XLOOKUP(H388,Info!A:A,Info!B:B))</f>
        <v/>
      </c>
      <c r="H388" s="98"/>
      <c r="I388" s="103"/>
      <c r="J388" s="33"/>
      <c r="K388" s="33"/>
      <c r="L388" s="33"/>
      <c r="M388" s="67"/>
      <c r="N388" s="50"/>
      <c r="P388" s="92"/>
      <c r="AI388" s="91"/>
    </row>
    <row r="389" spans="1:35" s="32" customFormat="1" x14ac:dyDescent="0.25">
      <c r="A389" s="33" t="str">
        <f>IF(ISBLANK(E389),"",_xlfn.XLOOKUP(E389,Info!A:A,Info!B:B))</f>
        <v/>
      </c>
      <c r="B389" s="33"/>
      <c r="C389" s="33"/>
      <c r="D389" s="54"/>
      <c r="E389" s="91"/>
      <c r="F389" s="54"/>
      <c r="G389" s="33" t="str">
        <f>IF(ISBLANK(H389),"",_xlfn.XLOOKUP(H389,Info!A:A,Info!B:B))</f>
        <v/>
      </c>
      <c r="H389" s="98"/>
      <c r="I389" s="103"/>
      <c r="J389" s="33"/>
      <c r="K389" s="33"/>
      <c r="L389" s="33"/>
      <c r="M389" s="67"/>
      <c r="N389" s="50"/>
      <c r="P389" s="92"/>
      <c r="AI389" s="91"/>
    </row>
    <row r="390" spans="1:35" s="32" customFormat="1" x14ac:dyDescent="0.25">
      <c r="A390" s="33" t="str">
        <f>IF(ISBLANK(E390),"",_xlfn.XLOOKUP(E390,Info!A:A,Info!B:B))</f>
        <v/>
      </c>
      <c r="B390" s="33"/>
      <c r="C390" s="33"/>
      <c r="D390" s="54"/>
      <c r="E390" s="91"/>
      <c r="F390" s="54"/>
      <c r="G390" s="33" t="str">
        <f>IF(ISBLANK(H390),"",_xlfn.XLOOKUP(H390,Info!A:A,Info!B:B))</f>
        <v/>
      </c>
      <c r="H390" s="98"/>
      <c r="I390" s="103"/>
      <c r="J390" s="33"/>
      <c r="K390" s="33"/>
      <c r="L390" s="33"/>
      <c r="M390" s="67"/>
      <c r="N390" s="50"/>
      <c r="P390" s="92"/>
      <c r="AI390" s="91"/>
    </row>
    <row r="391" spans="1:35" s="32" customFormat="1" x14ac:dyDescent="0.25">
      <c r="A391" s="33" t="str">
        <f>IF(ISBLANK(E391),"",_xlfn.XLOOKUP(E391,Info!A:A,Info!B:B))</f>
        <v/>
      </c>
      <c r="B391" s="33"/>
      <c r="C391" s="33"/>
      <c r="D391" s="54"/>
      <c r="E391" s="91"/>
      <c r="F391" s="54"/>
      <c r="G391" s="33" t="str">
        <f>IF(ISBLANK(H391),"",_xlfn.XLOOKUP(H391,Info!A:A,Info!B:B))</f>
        <v/>
      </c>
      <c r="H391" s="98"/>
      <c r="I391" s="103"/>
      <c r="J391" s="33"/>
      <c r="K391" s="33"/>
      <c r="L391" s="33"/>
      <c r="M391" s="67"/>
      <c r="N391" s="50"/>
      <c r="P391" s="92"/>
      <c r="AI391" s="91"/>
    </row>
    <row r="392" spans="1:35" s="32" customFormat="1" x14ac:dyDescent="0.25">
      <c r="A392" s="33" t="str">
        <f>IF(ISBLANK(E392),"",_xlfn.XLOOKUP(E392,Info!A:A,Info!B:B))</f>
        <v/>
      </c>
      <c r="B392" s="33"/>
      <c r="C392" s="33"/>
      <c r="D392" s="54"/>
      <c r="E392" s="91"/>
      <c r="F392" s="54"/>
      <c r="G392" s="33" t="str">
        <f>IF(ISBLANK(H392),"",_xlfn.XLOOKUP(H392,Info!A:A,Info!B:B))</f>
        <v/>
      </c>
      <c r="H392" s="98"/>
      <c r="I392" s="103"/>
      <c r="J392" s="33"/>
      <c r="K392" s="33"/>
      <c r="L392" s="33"/>
      <c r="M392" s="67"/>
      <c r="N392" s="50"/>
      <c r="P392" s="92"/>
      <c r="AI392" s="91"/>
    </row>
    <row r="393" spans="1:35" s="32" customFormat="1" x14ac:dyDescent="0.25">
      <c r="A393" s="33" t="str">
        <f>IF(ISBLANK(E393),"",_xlfn.XLOOKUP(E393,Info!A:A,Info!B:B))</f>
        <v/>
      </c>
      <c r="B393" s="33"/>
      <c r="C393" s="33"/>
      <c r="D393" s="54"/>
      <c r="E393" s="91"/>
      <c r="F393" s="54"/>
      <c r="G393" s="33" t="str">
        <f>IF(ISBLANK(H393),"",_xlfn.XLOOKUP(H393,Info!A:A,Info!B:B))</f>
        <v/>
      </c>
      <c r="H393" s="98"/>
      <c r="I393" s="103"/>
      <c r="J393" s="33"/>
      <c r="K393" s="33"/>
      <c r="L393" s="33"/>
      <c r="M393" s="67"/>
      <c r="N393" s="50"/>
      <c r="P393" s="92"/>
      <c r="AI393" s="91"/>
    </row>
    <row r="394" spans="1:35" s="32" customFormat="1" x14ac:dyDescent="0.25">
      <c r="A394" s="33" t="str">
        <f>IF(ISBLANK(E394),"",_xlfn.XLOOKUP(E394,Info!A:A,Info!B:B))</f>
        <v/>
      </c>
      <c r="B394" s="33"/>
      <c r="C394" s="33"/>
      <c r="D394" s="54"/>
      <c r="E394" s="91"/>
      <c r="F394" s="54"/>
      <c r="G394" s="33" t="str">
        <f>IF(ISBLANK(H394),"",_xlfn.XLOOKUP(H394,Info!A:A,Info!B:B))</f>
        <v/>
      </c>
      <c r="H394" s="98"/>
      <c r="I394" s="103"/>
      <c r="J394" s="33"/>
      <c r="K394" s="33"/>
      <c r="L394" s="33"/>
      <c r="M394" s="67"/>
      <c r="N394" s="50"/>
      <c r="P394" s="92"/>
      <c r="AI394" s="91"/>
    </row>
    <row r="395" spans="1:35" s="32" customFormat="1" x14ac:dyDescent="0.25">
      <c r="A395" s="33" t="str">
        <f>IF(ISBLANK(E395),"",_xlfn.XLOOKUP(E395,Info!A:A,Info!B:B))</f>
        <v/>
      </c>
      <c r="B395" s="33"/>
      <c r="C395" s="33"/>
      <c r="D395" s="54"/>
      <c r="E395" s="91"/>
      <c r="F395" s="54"/>
      <c r="G395" s="33" t="str">
        <f>IF(ISBLANK(H395),"",_xlfn.XLOOKUP(H395,Info!A:A,Info!B:B))</f>
        <v/>
      </c>
      <c r="H395" s="98"/>
      <c r="I395" s="103"/>
      <c r="J395" s="33"/>
      <c r="K395" s="33"/>
      <c r="L395" s="33"/>
      <c r="M395" s="67"/>
      <c r="N395" s="50"/>
      <c r="P395" s="92"/>
      <c r="AI395" s="91"/>
    </row>
    <row r="396" spans="1:35" s="32" customFormat="1" x14ac:dyDescent="0.25">
      <c r="A396" s="33" t="str">
        <f>IF(ISBLANK(E396),"",_xlfn.XLOOKUP(E396,Info!A:A,Info!B:B))</f>
        <v/>
      </c>
      <c r="B396" s="33"/>
      <c r="C396" s="33"/>
      <c r="D396" s="54"/>
      <c r="E396" s="91"/>
      <c r="F396" s="54"/>
      <c r="G396" s="33" t="str">
        <f>IF(ISBLANK(H396),"",_xlfn.XLOOKUP(H396,Info!A:A,Info!B:B))</f>
        <v/>
      </c>
      <c r="H396" s="98"/>
      <c r="I396" s="103"/>
      <c r="J396" s="33"/>
      <c r="K396" s="33"/>
      <c r="L396" s="33"/>
      <c r="M396" s="67"/>
      <c r="N396" s="50"/>
      <c r="P396" s="92"/>
      <c r="AI396" s="91"/>
    </row>
    <row r="397" spans="1:35" s="32" customFormat="1" x14ac:dyDescent="0.25">
      <c r="A397" s="33" t="str">
        <f>IF(ISBLANK(E397),"",_xlfn.XLOOKUP(E397,Info!A:A,Info!B:B))</f>
        <v/>
      </c>
      <c r="B397" s="33"/>
      <c r="C397" s="33"/>
      <c r="D397" s="54"/>
      <c r="E397" s="91"/>
      <c r="F397" s="54"/>
      <c r="G397" s="33" t="str">
        <f>IF(ISBLANK(H397),"",_xlfn.XLOOKUP(H397,Info!A:A,Info!B:B))</f>
        <v/>
      </c>
      <c r="H397" s="98"/>
      <c r="I397" s="103"/>
      <c r="J397" s="33"/>
      <c r="K397" s="33"/>
      <c r="L397" s="33"/>
      <c r="M397" s="67"/>
      <c r="N397" s="50"/>
      <c r="P397" s="92"/>
      <c r="AI397" s="91"/>
    </row>
    <row r="398" spans="1:35" s="32" customFormat="1" x14ac:dyDescent="0.25">
      <c r="A398" s="33" t="str">
        <f>IF(ISBLANK(E398),"",_xlfn.XLOOKUP(E398,Info!A:A,Info!B:B))</f>
        <v/>
      </c>
      <c r="B398" s="33"/>
      <c r="C398" s="33"/>
      <c r="D398" s="54"/>
      <c r="E398" s="91"/>
      <c r="F398" s="54"/>
      <c r="G398" s="33" t="str">
        <f>IF(ISBLANK(H398),"",_xlfn.XLOOKUP(H398,Info!A:A,Info!B:B))</f>
        <v/>
      </c>
      <c r="H398" s="98"/>
      <c r="I398" s="103"/>
      <c r="J398" s="33"/>
      <c r="K398" s="33"/>
      <c r="L398" s="33"/>
      <c r="M398" s="67"/>
      <c r="N398" s="50"/>
      <c r="P398" s="92"/>
      <c r="AI398" s="91"/>
    </row>
    <row r="399" spans="1:35" s="32" customFormat="1" x14ac:dyDescent="0.25">
      <c r="A399" s="33" t="str">
        <f>IF(ISBLANK(E399),"",_xlfn.XLOOKUP(E399,Info!A:A,Info!B:B))</f>
        <v/>
      </c>
      <c r="B399" s="33"/>
      <c r="C399" s="33"/>
      <c r="D399" s="54"/>
      <c r="E399" s="91"/>
      <c r="F399" s="54"/>
      <c r="G399" s="33" t="str">
        <f>IF(ISBLANK(H399),"",_xlfn.XLOOKUP(H399,Info!A:A,Info!B:B))</f>
        <v/>
      </c>
      <c r="H399" s="98"/>
      <c r="I399" s="103"/>
      <c r="J399" s="33"/>
      <c r="K399" s="33"/>
      <c r="L399" s="33"/>
      <c r="M399" s="67"/>
      <c r="N399" s="50"/>
      <c r="P399" s="92"/>
      <c r="AI399" s="91"/>
    </row>
    <row r="400" spans="1:35" s="32" customFormat="1" x14ac:dyDescent="0.25">
      <c r="A400" s="33" t="str">
        <f>IF(ISBLANK(E400),"",_xlfn.XLOOKUP(E400,Info!A:A,Info!B:B))</f>
        <v/>
      </c>
      <c r="B400" s="33"/>
      <c r="C400" s="33"/>
      <c r="D400" s="54"/>
      <c r="E400" s="91"/>
      <c r="F400" s="54"/>
      <c r="G400" s="33" t="str">
        <f>IF(ISBLANK(H400),"",_xlfn.XLOOKUP(H400,Info!A:A,Info!B:B))</f>
        <v/>
      </c>
      <c r="H400" s="98"/>
      <c r="I400" s="103"/>
      <c r="J400" s="33"/>
      <c r="K400" s="33"/>
      <c r="L400" s="33"/>
      <c r="M400" s="67"/>
      <c r="N400" s="50"/>
      <c r="P400" s="92"/>
      <c r="AI400" s="91"/>
    </row>
    <row r="401" spans="1:35" s="32" customFormat="1" x14ac:dyDescent="0.25">
      <c r="A401" s="33" t="str">
        <f>IF(ISBLANK(E401),"",_xlfn.XLOOKUP(E401,Info!A:A,Info!B:B))</f>
        <v/>
      </c>
      <c r="B401" s="33"/>
      <c r="C401" s="33"/>
      <c r="D401" s="54"/>
      <c r="E401" s="91"/>
      <c r="F401" s="54"/>
      <c r="G401" s="33" t="str">
        <f>IF(ISBLANK(H401),"",_xlfn.XLOOKUP(H401,Info!A:A,Info!B:B))</f>
        <v/>
      </c>
      <c r="H401" s="98"/>
      <c r="I401" s="103"/>
      <c r="J401" s="33"/>
      <c r="K401" s="33"/>
      <c r="L401" s="33"/>
      <c r="M401" s="67"/>
      <c r="N401" s="50"/>
      <c r="P401" s="92"/>
      <c r="AI401" s="91"/>
    </row>
    <row r="402" spans="1:35" s="32" customFormat="1" x14ac:dyDescent="0.25">
      <c r="A402" s="33" t="str">
        <f>IF(ISBLANK(E402),"",_xlfn.XLOOKUP(E402,Info!A:A,Info!B:B))</f>
        <v/>
      </c>
      <c r="B402" s="33"/>
      <c r="C402" s="33"/>
      <c r="D402" s="54"/>
      <c r="E402" s="91"/>
      <c r="F402" s="54"/>
      <c r="G402" s="33" t="str">
        <f>IF(ISBLANK(H402),"",_xlfn.XLOOKUP(H402,Info!A:A,Info!B:B))</f>
        <v/>
      </c>
      <c r="H402" s="98"/>
      <c r="I402" s="103"/>
      <c r="J402" s="33"/>
      <c r="K402" s="33"/>
      <c r="L402" s="33"/>
      <c r="M402" s="67"/>
      <c r="N402" s="50"/>
      <c r="P402" s="92"/>
      <c r="AI402" s="91"/>
    </row>
    <row r="403" spans="1:35" s="32" customFormat="1" x14ac:dyDescent="0.25">
      <c r="A403" s="33" t="str">
        <f>IF(ISBLANK(E403),"",_xlfn.XLOOKUP(E403,Info!A:A,Info!B:B))</f>
        <v/>
      </c>
      <c r="B403" s="33"/>
      <c r="C403" s="33"/>
      <c r="D403" s="54"/>
      <c r="E403" s="91"/>
      <c r="F403" s="54"/>
      <c r="G403" s="33" t="str">
        <f>IF(ISBLANK(H403),"",_xlfn.XLOOKUP(H403,Info!A:A,Info!B:B))</f>
        <v/>
      </c>
      <c r="H403" s="98"/>
      <c r="I403" s="103"/>
      <c r="J403" s="33"/>
      <c r="K403" s="33"/>
      <c r="L403" s="33"/>
      <c r="M403" s="67"/>
      <c r="N403" s="50"/>
      <c r="P403" s="92"/>
      <c r="AI403" s="91"/>
    </row>
    <row r="404" spans="1:35" s="32" customFormat="1" x14ac:dyDescent="0.25">
      <c r="A404" s="33" t="str">
        <f>IF(ISBLANK(E404),"",_xlfn.XLOOKUP(E404,Info!A:A,Info!B:B))</f>
        <v/>
      </c>
      <c r="B404" s="33"/>
      <c r="C404" s="33"/>
      <c r="D404" s="54"/>
      <c r="E404" s="91"/>
      <c r="F404" s="54"/>
      <c r="G404" s="33" t="str">
        <f>IF(ISBLANK(H404),"",_xlfn.XLOOKUP(H404,Info!A:A,Info!B:B))</f>
        <v/>
      </c>
      <c r="H404" s="98"/>
      <c r="I404" s="103"/>
      <c r="J404" s="33"/>
      <c r="K404" s="33"/>
      <c r="L404" s="33"/>
      <c r="M404" s="67"/>
      <c r="N404" s="50"/>
      <c r="P404" s="92"/>
      <c r="AI404" s="91"/>
    </row>
    <row r="405" spans="1:35" s="32" customFormat="1" x14ac:dyDescent="0.25">
      <c r="A405" s="33" t="str">
        <f>IF(ISBLANK(E405),"",_xlfn.XLOOKUP(E405,Info!A:A,Info!B:B))</f>
        <v/>
      </c>
      <c r="B405" s="33"/>
      <c r="C405" s="33"/>
      <c r="D405" s="54"/>
      <c r="E405" s="91"/>
      <c r="F405" s="54"/>
      <c r="G405" s="33" t="str">
        <f>IF(ISBLANK(H405),"",_xlfn.XLOOKUP(H405,Info!A:A,Info!B:B))</f>
        <v/>
      </c>
      <c r="H405" s="98"/>
      <c r="I405" s="103"/>
      <c r="J405" s="33"/>
      <c r="K405" s="33"/>
      <c r="L405" s="33"/>
      <c r="M405" s="67"/>
      <c r="N405" s="50"/>
      <c r="P405" s="92"/>
      <c r="AI405" s="91"/>
    </row>
    <row r="406" spans="1:35" x14ac:dyDescent="0.25">
      <c r="A406" s="33" t="str">
        <f>IF(ISBLANK(E406),"",_xlfn.XLOOKUP(E406,Info!A:A,Info!B:B))</f>
        <v/>
      </c>
      <c r="G406" s="33" t="str">
        <f>IF(ISBLANK(H406),"",_xlfn.XLOOKUP(H406,Info!A:A,Info!B:B))</f>
        <v/>
      </c>
    </row>
    <row r="407" spans="1:35" x14ac:dyDescent="0.25">
      <c r="A407" s="33" t="str">
        <f>IF(ISBLANK(E407),"",_xlfn.XLOOKUP(E407,Info!A:A,Info!B:B))</f>
        <v/>
      </c>
      <c r="G407" s="33" t="str">
        <f>IF(ISBLANK(H407),"",_xlfn.XLOOKUP(H407,Info!A:A,Info!B:B))</f>
        <v/>
      </c>
    </row>
    <row r="408" spans="1:35" x14ac:dyDescent="0.25">
      <c r="A408" s="33" t="str">
        <f>IF(ISBLANK(E408),"",_xlfn.XLOOKUP(E408,Info!A:A,Info!B:B))</f>
        <v/>
      </c>
      <c r="G408" s="33" t="str">
        <f>IF(ISBLANK(H408),"",_xlfn.XLOOKUP(H408,Info!A:A,Info!B:B))</f>
        <v/>
      </c>
    </row>
    <row r="409" spans="1:35" x14ac:dyDescent="0.25">
      <c r="A409" s="33" t="str">
        <f>IF(ISBLANK(E409),"",_xlfn.XLOOKUP(E409,Info!A:A,Info!B:B))</f>
        <v/>
      </c>
      <c r="G409" s="33" t="str">
        <f>IF(ISBLANK(H409),"",_xlfn.XLOOKUP(H409,Info!A:A,Info!B:B))</f>
        <v/>
      </c>
    </row>
    <row r="410" spans="1:35" x14ac:dyDescent="0.25">
      <c r="A410" s="33" t="str">
        <f>IF(ISBLANK(E410),"",_xlfn.XLOOKUP(E410,Info!A:A,Info!B:B))</f>
        <v/>
      </c>
      <c r="G410" s="33" t="str">
        <f>IF(ISBLANK(H410),"",_xlfn.XLOOKUP(H410,Info!A:A,Info!B:B))</f>
        <v/>
      </c>
    </row>
    <row r="411" spans="1:35" x14ac:dyDescent="0.25">
      <c r="A411" s="33" t="str">
        <f>IF(ISBLANK(E411),"",_xlfn.XLOOKUP(E411,Info!A:A,Info!B:B))</f>
        <v/>
      </c>
      <c r="G411" s="33" t="str">
        <f>IF(ISBLANK(H411),"",_xlfn.XLOOKUP(H411,Info!A:A,Info!B:B))</f>
        <v/>
      </c>
    </row>
    <row r="412" spans="1:35" x14ac:dyDescent="0.25">
      <c r="A412" s="33" t="str">
        <f>IF(ISBLANK(E412),"",_xlfn.XLOOKUP(E412,Info!A:A,Info!B:B))</f>
        <v/>
      </c>
      <c r="G412" s="33" t="str">
        <f>IF(ISBLANK(H412),"",_xlfn.XLOOKUP(H412,Info!A:A,Info!B:B))</f>
        <v/>
      </c>
    </row>
    <row r="413" spans="1:35" x14ac:dyDescent="0.25">
      <c r="A413" s="33" t="str">
        <f>IF(ISBLANK(E413),"",_xlfn.XLOOKUP(E413,Info!A:A,Info!B:B))</f>
        <v/>
      </c>
      <c r="G413" s="33" t="str">
        <f>IF(ISBLANK(H413),"",_xlfn.XLOOKUP(H413,Info!A:A,Info!B:B))</f>
        <v/>
      </c>
    </row>
    <row r="414" spans="1:35" x14ac:dyDescent="0.25">
      <c r="A414" s="33" t="str">
        <f>IF(ISBLANK(E414),"",_xlfn.XLOOKUP(E414,Info!A:A,Info!B:B))</f>
        <v/>
      </c>
      <c r="G414" s="33" t="str">
        <f>IF(ISBLANK(H414),"",_xlfn.XLOOKUP(H414,Info!A:A,Info!B:B))</f>
        <v/>
      </c>
    </row>
    <row r="415" spans="1:35" x14ac:dyDescent="0.25">
      <c r="A415" s="33" t="str">
        <f>IF(ISBLANK(E415),"",_xlfn.XLOOKUP(E415,Info!A:A,Info!B:B))</f>
        <v/>
      </c>
      <c r="G415" s="33" t="str">
        <f>IF(ISBLANK(H415),"",_xlfn.XLOOKUP(H415,Info!A:A,Info!B:B))</f>
        <v/>
      </c>
    </row>
    <row r="416" spans="1:35" x14ac:dyDescent="0.25">
      <c r="A416" s="33" t="str">
        <f>IF(ISBLANK(E416),"",_xlfn.XLOOKUP(E416,Info!A:A,Info!B:B))</f>
        <v/>
      </c>
      <c r="G416" s="33" t="str">
        <f>IF(ISBLANK(H416),"",_xlfn.XLOOKUP(H416,Info!A:A,Info!B:B))</f>
        <v/>
      </c>
    </row>
    <row r="417" spans="1:7" x14ac:dyDescent="0.25">
      <c r="A417" s="33" t="str">
        <f>IF(ISBLANK(E417),"",_xlfn.XLOOKUP(E417,Info!A:A,Info!B:B))</f>
        <v/>
      </c>
      <c r="G417" s="33" t="str">
        <f>IF(ISBLANK(H417),"",_xlfn.XLOOKUP(H417,Info!A:A,Info!B:B))</f>
        <v/>
      </c>
    </row>
    <row r="418" spans="1:7" x14ac:dyDescent="0.25">
      <c r="A418" s="33" t="str">
        <f>IF(ISBLANK(E418),"",_xlfn.XLOOKUP(E418,Info!A:A,Info!B:B))</f>
        <v/>
      </c>
      <c r="G418" s="33" t="str">
        <f>IF(ISBLANK(H418),"",_xlfn.XLOOKUP(H418,Info!A:A,Info!B:B))</f>
        <v/>
      </c>
    </row>
    <row r="419" spans="1:7" x14ac:dyDescent="0.25">
      <c r="A419" s="33" t="str">
        <f>IF(ISBLANK(E419),"",_xlfn.XLOOKUP(E419,Info!A:A,Info!B:B))</f>
        <v/>
      </c>
      <c r="G419" s="33" t="str">
        <f>IF(ISBLANK(H419),"",_xlfn.XLOOKUP(H419,Info!A:A,Info!B:B))</f>
        <v/>
      </c>
    </row>
    <row r="420" spans="1:7" x14ac:dyDescent="0.25">
      <c r="A420" s="33" t="str">
        <f>IF(ISBLANK(E420),"",_xlfn.XLOOKUP(E420,Info!A:A,Info!B:B))</f>
        <v/>
      </c>
      <c r="G420" s="33" t="str">
        <f>IF(ISBLANK(H420),"",_xlfn.XLOOKUP(H420,Info!A:A,Info!B:B))</f>
        <v/>
      </c>
    </row>
    <row r="421" spans="1:7" x14ac:dyDescent="0.25">
      <c r="A421" s="33" t="str">
        <f>IF(ISBLANK(E421),"",_xlfn.XLOOKUP(E421,Info!A:A,Info!B:B))</f>
        <v/>
      </c>
      <c r="G421" s="33" t="str">
        <f>IF(ISBLANK(H421),"",_xlfn.XLOOKUP(H421,Info!A:A,Info!B:B))</f>
        <v/>
      </c>
    </row>
    <row r="422" spans="1:7" x14ac:dyDescent="0.25">
      <c r="A422" s="33" t="str">
        <f>IF(ISBLANK(E422),"",_xlfn.XLOOKUP(E422,Info!A:A,Info!B:B))</f>
        <v/>
      </c>
      <c r="G422" s="33" t="str">
        <f>IF(ISBLANK(H422),"",_xlfn.XLOOKUP(H422,Info!A:A,Info!B:B))</f>
        <v/>
      </c>
    </row>
    <row r="423" spans="1:7" x14ac:dyDescent="0.25">
      <c r="A423" s="33" t="str">
        <f>IF(ISBLANK(E423),"",_xlfn.XLOOKUP(E423,Info!A:A,Info!B:B))</f>
        <v/>
      </c>
      <c r="G423" s="33" t="str">
        <f>IF(ISBLANK(H423),"",_xlfn.XLOOKUP(H423,Info!A:A,Info!B:B))</f>
        <v/>
      </c>
    </row>
    <row r="424" spans="1:7" x14ac:dyDescent="0.25">
      <c r="A424" s="33" t="str">
        <f>IF(ISBLANK(E424),"",_xlfn.XLOOKUP(E424,Info!A:A,Info!B:B))</f>
        <v/>
      </c>
      <c r="G424" s="33" t="str">
        <f>IF(ISBLANK(H424),"",_xlfn.XLOOKUP(H424,Info!A:A,Info!B:B))</f>
        <v/>
      </c>
    </row>
    <row r="425" spans="1:7" x14ac:dyDescent="0.25">
      <c r="A425" s="33" t="str">
        <f>IF(ISBLANK(E425),"",_xlfn.XLOOKUP(E425,Info!A:A,Info!B:B))</f>
        <v/>
      </c>
      <c r="G425" s="33" t="str">
        <f>IF(ISBLANK(H425),"",_xlfn.XLOOKUP(H425,Info!A:A,Info!B:B))</f>
        <v/>
      </c>
    </row>
    <row r="426" spans="1:7" x14ac:dyDescent="0.25">
      <c r="A426" s="33" t="str">
        <f>IF(ISBLANK(E426),"",_xlfn.XLOOKUP(E426,Info!A:A,Info!B:B))</f>
        <v/>
      </c>
      <c r="G426" s="33" t="str">
        <f>IF(ISBLANK(H426),"",_xlfn.XLOOKUP(H426,Info!A:A,Info!B:B))</f>
        <v/>
      </c>
    </row>
    <row r="427" spans="1:7" x14ac:dyDescent="0.25">
      <c r="A427" s="33" t="str">
        <f>IF(ISBLANK(E427),"",_xlfn.XLOOKUP(E427,Info!A:A,Info!B:B))</f>
        <v/>
      </c>
      <c r="G427" s="33" t="str">
        <f>IF(ISBLANK(H427),"",_xlfn.XLOOKUP(H427,Info!A:A,Info!B:B))</f>
        <v/>
      </c>
    </row>
    <row r="428" spans="1:7" x14ac:dyDescent="0.25">
      <c r="A428" s="33" t="str">
        <f>IF(ISBLANK(E428),"",_xlfn.XLOOKUP(E428,Info!A:A,Info!B:B))</f>
        <v/>
      </c>
      <c r="G428" s="33" t="str">
        <f>IF(ISBLANK(H428),"",_xlfn.XLOOKUP(H428,Info!A:A,Info!B:B))</f>
        <v/>
      </c>
    </row>
    <row r="429" spans="1:7" x14ac:dyDescent="0.25">
      <c r="A429" s="33" t="str">
        <f>IF(ISBLANK(E429),"",_xlfn.XLOOKUP(E429,Info!A:A,Info!B:B))</f>
        <v/>
      </c>
      <c r="G429" s="33" t="str">
        <f>IF(ISBLANK(H429),"",_xlfn.XLOOKUP(H429,Info!A:A,Info!B:B))</f>
        <v/>
      </c>
    </row>
    <row r="430" spans="1:7" x14ac:dyDescent="0.25">
      <c r="A430" s="33" t="str">
        <f>IF(ISBLANK(E430),"",_xlfn.XLOOKUP(E430,Info!A:A,Info!B:B))</f>
        <v/>
      </c>
      <c r="G430" s="33" t="str">
        <f>IF(ISBLANK(H430),"",_xlfn.XLOOKUP(H430,Info!A:A,Info!B:B))</f>
        <v/>
      </c>
    </row>
    <row r="431" spans="1:7" x14ac:dyDescent="0.25">
      <c r="A431" s="33" t="str">
        <f>IF(ISBLANK(E431),"",_xlfn.XLOOKUP(E431,Info!A:A,Info!B:B))</f>
        <v/>
      </c>
      <c r="G431" s="33" t="str">
        <f>IF(ISBLANK(H431),"",_xlfn.XLOOKUP(H431,Info!A:A,Info!B:B))</f>
        <v/>
      </c>
    </row>
    <row r="432" spans="1:7" x14ac:dyDescent="0.25">
      <c r="A432" s="33" t="str">
        <f>IF(ISBLANK(E432),"",_xlfn.XLOOKUP(E432,Info!A:A,Info!B:B))</f>
        <v/>
      </c>
      <c r="G432" s="33" t="str">
        <f>IF(ISBLANK(H432),"",_xlfn.XLOOKUP(H432,Info!A:A,Info!B:B))</f>
        <v/>
      </c>
    </row>
    <row r="433" spans="1:7" x14ac:dyDescent="0.25">
      <c r="A433" s="33" t="str">
        <f>IF(ISBLANK(E433),"",_xlfn.XLOOKUP(E433,Info!A:A,Info!B:B))</f>
        <v/>
      </c>
      <c r="G433" s="33" t="str">
        <f>IF(ISBLANK(H433),"",_xlfn.XLOOKUP(H433,Info!A:A,Info!B:B))</f>
        <v/>
      </c>
    </row>
    <row r="434" spans="1:7" x14ac:dyDescent="0.25">
      <c r="A434" s="33" t="str">
        <f>IF(ISBLANK(E434),"",_xlfn.XLOOKUP(E434,Info!A:A,Info!B:B))</f>
        <v/>
      </c>
      <c r="G434" s="33" t="str">
        <f>IF(ISBLANK(H434),"",_xlfn.XLOOKUP(H434,Info!A:A,Info!B:B))</f>
        <v/>
      </c>
    </row>
    <row r="435" spans="1:7" x14ac:dyDescent="0.25">
      <c r="A435" s="33" t="str">
        <f>IF(ISBLANK(E435),"",_xlfn.XLOOKUP(E435,Info!A:A,Info!B:B))</f>
        <v/>
      </c>
      <c r="G435" s="33" t="str">
        <f>IF(ISBLANK(H435),"",_xlfn.XLOOKUP(H435,Info!A:A,Info!B:B))</f>
        <v/>
      </c>
    </row>
    <row r="436" spans="1:7" x14ac:dyDescent="0.25">
      <c r="A436" s="33" t="str">
        <f>IF(ISBLANK(E436),"",_xlfn.XLOOKUP(E436,Info!A:A,Info!B:B))</f>
        <v/>
      </c>
      <c r="G436" s="33" t="str">
        <f>IF(ISBLANK(H436),"",_xlfn.XLOOKUP(H436,Info!A:A,Info!B:B))</f>
        <v/>
      </c>
    </row>
    <row r="437" spans="1:7" x14ac:dyDescent="0.25">
      <c r="A437" s="33" t="str">
        <f>IF(ISBLANK(E437),"",_xlfn.XLOOKUP(E437,Info!A:A,Info!B:B))</f>
        <v/>
      </c>
      <c r="G437" s="33" t="str">
        <f>IF(ISBLANK(H437),"",_xlfn.XLOOKUP(H437,Info!A:A,Info!B:B))</f>
        <v/>
      </c>
    </row>
    <row r="438" spans="1:7" x14ac:dyDescent="0.25">
      <c r="A438" s="33" t="str">
        <f>IF(ISBLANK(E438),"",_xlfn.XLOOKUP(E438,Info!A:A,Info!B:B))</f>
        <v/>
      </c>
      <c r="G438" s="33" t="str">
        <f>IF(ISBLANK(H438),"",_xlfn.XLOOKUP(H438,Info!A:A,Info!B:B))</f>
        <v/>
      </c>
    </row>
    <row r="439" spans="1:7" x14ac:dyDescent="0.25">
      <c r="A439" s="33" t="str">
        <f>IF(ISBLANK(E439),"",_xlfn.XLOOKUP(E439,Info!A:A,Info!B:B))</f>
        <v/>
      </c>
      <c r="G439" s="33" t="str">
        <f>IF(ISBLANK(H439),"",_xlfn.XLOOKUP(H439,Info!A:A,Info!B:B))</f>
        <v/>
      </c>
    </row>
    <row r="440" spans="1:7" x14ac:dyDescent="0.25">
      <c r="A440" s="33" t="str">
        <f>IF(ISBLANK(E440),"",_xlfn.XLOOKUP(E440,Info!A:A,Info!B:B))</f>
        <v/>
      </c>
      <c r="G440" s="33" t="str">
        <f>IF(ISBLANK(H440),"",_xlfn.XLOOKUP(H440,Info!A:A,Info!B:B))</f>
        <v/>
      </c>
    </row>
    <row r="441" spans="1:7" x14ac:dyDescent="0.25">
      <c r="A441" s="33" t="str">
        <f>IF(ISBLANK(E441),"",_xlfn.XLOOKUP(E441,Info!A:A,Info!B:B))</f>
        <v/>
      </c>
      <c r="G441" s="33" t="str">
        <f>IF(ISBLANK(H441),"",_xlfn.XLOOKUP(H441,Info!A:A,Info!B:B))</f>
        <v/>
      </c>
    </row>
    <row r="442" spans="1:7" x14ac:dyDescent="0.25">
      <c r="A442" s="33" t="str">
        <f>IF(ISBLANK(E442),"",_xlfn.XLOOKUP(E442,Info!A:A,Info!B:B))</f>
        <v/>
      </c>
      <c r="G442" s="33" t="str">
        <f>IF(ISBLANK(H442),"",_xlfn.XLOOKUP(H442,Info!A:A,Info!B:B))</f>
        <v/>
      </c>
    </row>
    <row r="443" spans="1:7" x14ac:dyDescent="0.25">
      <c r="A443" s="33" t="str">
        <f>IF(ISBLANK(E443),"",_xlfn.XLOOKUP(E443,Info!A:A,Info!B:B))</f>
        <v/>
      </c>
      <c r="G443" s="33" t="str">
        <f>IF(ISBLANK(H443),"",_xlfn.XLOOKUP(H443,Info!A:A,Info!B:B))</f>
        <v/>
      </c>
    </row>
    <row r="444" spans="1:7" x14ac:dyDescent="0.25">
      <c r="A444" s="33" t="str">
        <f>IF(ISBLANK(E444),"",_xlfn.XLOOKUP(E444,Info!A:A,Info!B:B))</f>
        <v/>
      </c>
      <c r="G444" s="33" t="str">
        <f>IF(ISBLANK(H444),"",_xlfn.XLOOKUP(H444,Info!A:A,Info!B:B))</f>
        <v/>
      </c>
    </row>
    <row r="445" spans="1:7" x14ac:dyDescent="0.25">
      <c r="A445" s="33" t="str">
        <f>IF(ISBLANK(E445),"",_xlfn.XLOOKUP(E445,Info!A:A,Info!B:B))</f>
        <v/>
      </c>
      <c r="G445" s="33" t="str">
        <f>IF(ISBLANK(H445),"",_xlfn.XLOOKUP(H445,Info!A:A,Info!B:B))</f>
        <v/>
      </c>
    </row>
    <row r="446" spans="1:7" x14ac:dyDescent="0.25">
      <c r="A446" s="33" t="str">
        <f>IF(ISBLANK(E446),"",_xlfn.XLOOKUP(E446,Info!A:A,Info!B:B))</f>
        <v/>
      </c>
      <c r="G446" s="33" t="str">
        <f>IF(ISBLANK(H446),"",_xlfn.XLOOKUP(H446,Info!A:A,Info!B:B))</f>
        <v/>
      </c>
    </row>
  </sheetData>
  <autoFilter ref="A1:P446" xr:uid="{C106C93E-E4E6-4212-A1AE-6CCBA718A489}"/>
  <phoneticPr fontId="11" type="noConversion"/>
  <hyperlinks>
    <hyperlink ref="O33" r:id="rId1" xr:uid="{4AB47A6A-4758-468E-9ABE-A8478398929C}"/>
    <hyperlink ref="O36" r:id="rId2" xr:uid="{3C470CFD-30AC-427C-81D6-04534F0AD790}"/>
    <hyperlink ref="O38" r:id="rId3" xr:uid="{C8246BB3-CE1F-4696-B6EB-0777A4A22E90}"/>
    <hyperlink ref="O43" r:id="rId4" display="Carnesville May ASM " xr:uid="{1C14914A-252F-46CD-8B60-6A7EA10AF4F8}"/>
    <hyperlink ref="O40" r:id="rId5" xr:uid="{1E8FF064-FA07-4571-9477-8D3F9147FEAA}"/>
    <hyperlink ref="O42" r:id="rId6" display="SteerCo 4/3" xr:uid="{3608671F-7368-4A4A-93F7-9A80B18C8BAB}"/>
    <hyperlink ref="O48" r:id="rId7" display="Carnesville May ASM " xr:uid="{9136A310-9369-41C6-BAED-32CB002CE94A}"/>
    <hyperlink ref="O51" r:id="rId8" display="Carnesville May ASM " xr:uid="{E2F31F07-DB89-40C8-AE9E-A987A8D1E4B4}"/>
    <hyperlink ref="O66" r:id="rId9" display="Carnesville May ASM " xr:uid="{8F58BE38-7A42-460E-B08F-4BCBD11D4EF2}"/>
    <hyperlink ref="O72" r:id="rId10" display="Carnesville May ASM " xr:uid="{FAFF2A5C-B437-4651-AEC0-F9FBBEA1F708}"/>
    <hyperlink ref="O74" r:id="rId11" display="Carnesville May ASM " xr:uid="{46908BF7-DCEE-4296-AA65-B2F566D75749}"/>
    <hyperlink ref="O46" r:id="rId12" display="Carnesville May ASM " xr:uid="{19A3457D-0B43-40CB-9075-45A9F282F442}"/>
    <hyperlink ref="O55" r:id="rId13" display="Carnesville May ASM " xr:uid="{A441FB20-94DE-446F-97E5-DB600A08E719}"/>
    <hyperlink ref="O44" r:id="rId14" xr:uid="{8630D048-1902-45FA-B70D-BC195B21388A}"/>
    <hyperlink ref="O56" r:id="rId15" xr:uid="{347AA809-6F53-49C7-83DD-9966348FF275}"/>
    <hyperlink ref="O47" r:id="rId16" xr:uid="{05047BFC-AF28-4F80-A560-2CACDBF803A7}"/>
    <hyperlink ref="O52" r:id="rId17" xr:uid="{6CAF9855-3E96-4B1A-AA82-DC4E4C2F8C3B}"/>
    <hyperlink ref="O53" r:id="rId18" xr:uid="{DFDA96C4-FFDD-4DAC-816F-A9A3497B8845}"/>
    <hyperlink ref="O50" r:id="rId19" display="https://teams.wal-mart.com/:p:/r/sites/TechnologyandAutomation/Shared Documents/PMO/Fulfillment/NextGens/02. Presentations/01.  Steer Co Presentations/26_04_13 SteerCo NG %26 NS Campus.pptx?d=w41173a6f757f4cfc818111ad35e8a3cd&amp;csf=1&amp;web=1&amp;e=FsS4WG" xr:uid="{EC54F4CA-F5DF-4135-BC35-4B317B458D3A}"/>
    <hyperlink ref="O14" r:id="rId20" display="https://teams.wal-mart.com/:p:/r/sites/TechnologyandAutomation/Shared Documents/PMO/Fulfillment/NextGens/02. Presentations/01.  Steer Co Presentations/26_02_26 SteerCo Carnesville BC_IP Increase_EV Yard Trucks.pptx?d=w483415fbde51469688ade05b37b8542f&amp;csf=1&amp;web=1&amp;e=aU0OaP" xr:uid="{24F5FFB2-D300-40A9-B4F0-AFA7EF810791}"/>
    <hyperlink ref="O15" r:id="rId21" display="https://teams.wal-mart.com/:p:/r/sites/TechnologyandAutomation/Shared Documents/PMO/Fulfillment/NextGens/02. Presentations/01.  Steer Co Presentations/26_02_26 SteerCo Carnesville BC_IP Increase_EV Yard Trucks.pptx?d=w483415fbde51469688ade05b37b8542f&amp;csf=1&amp;web=1&amp;e=aU0OaP" xr:uid="{DA7742A1-779F-4BC9-AAB8-2FE8CB66A994}"/>
    <hyperlink ref="O12" r:id="rId22" display="https://teams.wal-mart.com/:b:/r/sites/TechnologyandAutomation/Shared Documents/PMO/Fulfillment/NextGens/02. Presentations/01.  Steer Co Presentations/26_02_20 Carnesville CapEx Reduction Slides-SteerCo.pdf?csf=1&amp;web=1&amp;e=qGXObA" xr:uid="{636211AD-4B43-425E-B121-68B4EE7E3A34}"/>
    <hyperlink ref="O30" r:id="rId23" display="https://teams.wal-mart.com/:p:/r/sites/TechnologyandAutomation/Shared Documents/PMO/Fulfillment/NextGens/02. Presentations/01.  Steer Co Presentations/26_03_19 SteerCo BDR Buckeye %26 Wallkill_ Wallkill Timeline.pptx?d=w0e7c34317d1a4d97b16574d08ad8a49d&amp;csf=1&amp;web=1&amp;e=mOqfbx" xr:uid="{F51BEFD5-5F34-4461-BE42-FE2DB48B06E6}"/>
    <hyperlink ref="O28" r:id="rId24" display="https://teams.wal-mart.com/:p:/r/sites/TechnologyandAutomation/Shared Documents/PMO/Fulfillment/NextGens/02. Presentations/01.  Steer Co Presentations/26_03_19 SteerCo BDR Buckeye %26 Wallkill_ Wallkill Timeline.pptx?d=w0e7c34317d1a4d97b16574d08ad8a49d&amp;csf=1&amp;web=1&amp;e=mOqfbx" xr:uid="{9934D181-A94E-4129-AB6E-B4FFEF352F38}"/>
    <hyperlink ref="O31" r:id="rId25" display="https://teams.wal-mart.com/:p:/r/sites/TechnologyandAutomation/Shared Documents/PMO/Fulfillment/NextGens/02. Presentations/01.  Steer Co Presentations/26_03_19 SteerCo BDR Buckeye %26 Wallkill_ Wallkill Timeline.pptx?d=w0e7c34317d1a4d97b16574d08ad8a49d&amp;csf=1&amp;web=1&amp;e=mOqfbx" xr:uid="{4C338460-DE1B-47BA-84DD-5240EAD0D1BD}"/>
    <hyperlink ref="O20" r:id="rId26" display="https://teams.wal-mart.com/:p:/r/sites/TechnologyandAutomation/Shared Documents/PMO/Fulfillment/NextGens/02. Presentations/01.  Steer Co Presentations/26_03_05 SteerCo IP Moved to 80%25_Wallkill Political Update %26 Business Case.pptx?d=w07127f8f0a314e8395c570ec3c7753b7&amp;csf=1&amp;web=1&amp;e=mJzRFA" xr:uid="{0FDC6EFF-6E17-4A8B-AE33-568E8FA72C60}"/>
    <hyperlink ref="O22" r:id="rId27" display="https://teams.wal-mart.com/:p:/r/sites/TechnologyandAutomation/Shared Documents/PMO/Fulfillment/NextGens/02. Presentations/01.  Steer Co Presentations/26_03_05 SteerCo IP Moved to 80%25_Wallkill Political Update %26 Business Case.pptx?d=w07127f8f0a314e8395c570ec3c7753b7&amp;csf=1&amp;web=1&amp;e=mJzRFA" xr:uid="{B9473B94-9018-4845-8232-60338DAE9609}"/>
    <hyperlink ref="O21" r:id="rId28" display="https://teams.wal-mart.com/:p:/r/sites/TechnologyandAutomation/Shared Documents/PMO/Fulfillment/NextGens/02. Presentations/01.  Steer Co Presentations/26_03_05 SteerCo IP Moved to 80%25_Wallkill Political Update %26 Business Case.pptx?d=w07127f8f0a314e8395c570ec3c7753b7&amp;csf=1&amp;web=1&amp;e=mJzRFA" xr:uid="{72203D11-1018-447F-88C6-A2BB905BB8CB}"/>
    <hyperlink ref="O23" r:id="rId29" display="https://teams.wal-mart.com/:p:/r/sites/TechnologyandAutomation/Shared Documents/PMO/Fulfillment/NextGens/02. Presentations/01.  Steer Co Presentations/26_03_05 SteerCo IP Moved to 80%25_Wallkill Political Update %26 Business Case.pptx?d=w07127f8f0a314e8395c570ec3c7753b7&amp;csf=1&amp;web=1&amp;e=mJzRFA" xr:uid="{A524FA2A-B666-49E4-B627-A9CA3064B45C}"/>
    <hyperlink ref="O24" r:id="rId30" display="https://teams.wal-mart.com/:p:/r/sites/TechnologyandAutomation/Shared Documents/PMO/Fulfillment/NextGens/02. Presentations/01.  Steer Co Presentations/26_03_12 SteerCo.pptx?d=w970d351de1e84db7811c7aa78bae01a9&amp;csf=1&amp;web=1&amp;e=V0ELec" xr:uid="{10D9CE32-C70D-4E13-B166-4E9E65FDB112}"/>
    <hyperlink ref="O25" r:id="rId31" display="https://teams.wal-mart.com/:p:/r/sites/TechnologyandAutomation/Shared Documents/PMO/Fulfillment/NextGens/02. Presentations/01.  Steer Co Presentations/26_03_12 SteerCo.pptx?d=w970d351de1e84db7811c7aa78bae01a9&amp;csf=1&amp;web=1&amp;e=V0ELec" xr:uid="{2E11D159-43B6-47AB-B4A8-369CFFB98244}"/>
    <hyperlink ref="O26" r:id="rId32" display="https://teams.wal-mart.com/:p:/r/sites/TechnologyandAutomation/Shared Documents/PMO/Fulfillment/NextGens/02. Presentations/01.  Steer Co Presentations/26_03_12 SteerCo.pptx?d=w970d351de1e84db7811c7aa78bae01a9&amp;csf=1&amp;web=1&amp;e=V0ELec" xr:uid="{127E3107-1547-4977-A66A-34A6DEA03DB0}"/>
    <hyperlink ref="O39" r:id="rId33" display="https://teams.wal-mart.com/:p:/r/sites/TechnologyandAutomation/Shared Documents/PMO/Fulfillment/NextGens/02. Presentations/01.  Steer Co Presentations/26_04_02 SteerCo Cost to Server Carnesville Maintenance Strategy.pptx?d=w876d4d25a3a3479f9703ef581bdc54c8&amp;csf=1&amp;web=1&amp;e=lfF9uT" xr:uid="{94DDBDAF-82F7-4692-98D5-7FCED8E7CD84}"/>
    <hyperlink ref="O41" r:id="rId34" display="https://teams.wal-mart.com/:p:/r/sites/TechnologyandAutomation/Shared Documents/PMO/Fulfillment/NextGens/02. Presentations/01.  Steer Co Presentations/26_04_02 SteerCo Cost to Server Carnesville Maintenance Strategy.pptx?d=w876d4d25a3a3479f9703ef581bdc54c8&amp;csf=1&amp;web=1&amp;e=lfF9uT" xr:uid="{01C07C0F-994A-47E2-8CAB-F2A5A805807D}"/>
    <hyperlink ref="O58" r:id="rId35" xr:uid="{03B1410F-8E16-457F-AC07-01F42694D756}"/>
    <hyperlink ref="O64" r:id="rId36" display="Carnesville May ASM " xr:uid="{ED20F09F-4695-46D7-B337-0CB9D9CA0AE1}"/>
    <hyperlink ref="O45" r:id="rId37" display="Carnesville May ASM " xr:uid="{79069AD2-A8F8-4072-821A-21BC63F7C68D}"/>
    <hyperlink ref="O32" r:id="rId38" display="Carnesville May ASM " xr:uid="{45DE746D-3394-418B-972F-E8D9F19F7C07}"/>
    <hyperlink ref="O49" r:id="rId39" display="Carnesville May ASM " xr:uid="{38D1352B-3F87-4D84-8086-F2C6D9134A42}"/>
    <hyperlink ref="O65" r:id="rId40" display="Carnesville May ASM " xr:uid="{4D79B66D-8082-4C4E-8A10-51D37220AFA6}"/>
    <hyperlink ref="O57" r:id="rId41" display="Carnesville May ASM " xr:uid="{BFB200FF-12D4-429E-92C1-18437F29C6BA}"/>
    <hyperlink ref="O70" r:id="rId42" display="Carnesville May ASM " xr:uid="{92FE8EC6-22B4-496F-A1B6-8E96247465FD}"/>
    <hyperlink ref="O54" r:id="rId43" display="Carnesville May ASM " xr:uid="{7A5B02B9-251F-48BB-985E-F9666B486C06}"/>
    <hyperlink ref="O60" r:id="rId44" display="Carnesville May ASM " xr:uid="{D5A5B25C-6B7F-4594-B395-B6C31E7938D6}"/>
    <hyperlink ref="O61" r:id="rId45" display="https://teams.wal-mart.com/:p:/r/sites/TechnologyandAutomation/Shared Documents/PMO/Fulfillment/NextGens/02. Presentations/01.  Steer Co Presentations/26_04_27 Wallkill IRR Deep Dive.pptx?d=w5d08b18b5ec84bd1b9aa93de82721232&amp;csf=1&amp;web=1&amp;e=PGWwPK" xr:uid="{DAEB8D4F-C074-454C-8618-0742CC79C2CE}"/>
    <hyperlink ref="O27" r:id="rId46" display="https://teams.wal-mart.com/:p:/r/sites/TechnologyandAutomation/Shared Documents/PMO/Fulfillment/NextGens/02. Presentations/01.  Steer Co Presentations/26_03_12 SteerCo Energy CapEx Increase.pptx?d=w970d351de1e84db7811c7aa78bae01a9&amp;csf=1&amp;web=1&amp;e=OwhQ0n" xr:uid="{B254335B-B5C3-476A-800E-457192F58110}"/>
    <hyperlink ref="O59" r:id="rId47" display="https://teams.wal-mart.com/:p:/r/sites/TechnologyandAutomation/Shared Documents/PMO/Fulfillment/NextGens/02. Presentations/Rob Presentations/26_04_24 Buckeye Land Purchase Alignment.pptx?d=w79ea097951a34a778b4d3c07a8ae8405&amp;csf=1&amp;web=1&amp;e=q8Rf3o" xr:uid="{4E7BEC15-6F02-4AF5-B0D0-1AA7D34A030D}"/>
    <hyperlink ref="O67" r:id="rId48" display="https://teams.wal-mart.com/:p:/r/sites/TechnologyandAutomation/Shared Documents/PMO/Fulfillment/NextGens/02. Presentations/01.  Steer Co Presentations/26_05_04 SteerCo.pptx?d=wd44f71dddce1499cb3c5f8a6f9c7fd63&amp;csf=1&amp;web=1&amp;e=40F5If" xr:uid="{7C1BC644-7E0E-4546-BFB5-D723B14FB576}"/>
    <hyperlink ref="O68" r:id="rId49" display="https://teams.wal-mart.com/:p:/r/sites/TechnologyandAutomation/Shared Documents/PMO/Fulfillment/NextGens/02. Presentations/01.  Steer Co Presentations/26_05_04 SteerCo.pptx?d=wd44f71dddce1499cb3c5f8a6f9c7fd63&amp;csf=1&amp;web=1&amp;e=40F5If" xr:uid="{40641C77-008F-4F12-A0D4-E35FE66E2971}"/>
    <hyperlink ref="O63" r:id="rId50" display="https://teams.wal-mart.com/:p:/r/sites/TechnologyandAutomation/Shared Documents/PMO/Fulfillment/NextGens/02. Presentations/01.  Steer Co Presentations/26_04_30 SteerCo.pptx?d=wdb87420320c440f3a352dd4f0e632eb9&amp;csf=1&amp;web=1&amp;e=B6iMdT" xr:uid="{6BF12395-B556-46A4-85ED-12F1DEAE5FDB}"/>
    <hyperlink ref="O62" r:id="rId51" display="https://teams.wal-mart.com/:p:/r/sites/TechnologyandAutomation/Shared Documents/PMO/Fulfillment/NextGens/02. Presentations/01.  Steer Co Presentations/26_04_30 SteerCo.pptx?d=wdb87420320c440f3a352dd4f0e632eb9&amp;csf=1&amp;web=1&amp;e=B6iMdT" xr:uid="{F70C6EE1-3B65-42A7-BDCF-59B2DC98581C}"/>
    <hyperlink ref="O69" r:id="rId52" display="https://teams.wal-mart.com/:p:/r/sites/TechnologyandAutomation/Shared Documents/PMO/Fulfillment/NextGens/02. Presentations/01.  Steer Co Presentations/26_05_04 SteerCo.pptx?d=wd44f71dddce1499cb3c5f8a6f9c7fd63&amp;csf=1&amp;web=1&amp;e=40F5If" xr:uid="{60F2AB70-8A56-4F25-B312-E392A4388BC6}"/>
    <hyperlink ref="O6" r:id="rId53" display="https://teams.wal-mart.com/:p:/r/sites/TechnologyandAutomation/Shared Documents/PMO/Fulfillment/NextGens/02. Presentations/01.  Steer Co Presentations/26_01_29 Northeast Spec Bld Analysis.pptx?d=w9c538d8635b94c129ba00ea7eac27a0e&amp;csf=1&amp;web=1&amp;e=Cn3L1m" xr:uid="{4A6DDCAA-2AC4-4B9D-9AB3-D4FFDD8113C4}"/>
    <hyperlink ref="O71" r:id="rId54" display="https://teams.wal-mart.com/:p:/r/sites/TechnologyandAutomation/Shared Documents/PMO/Fulfillment/NextGens/02. Presentations/01.  Steer Co Presentations/26_05_08 SteerCo.pptx?d=wd863957755e742f8bfaaadcb434b30d7&amp;csf=1&amp;web=1&amp;e=6FERxe" xr:uid="{A06FD16C-22D9-4F10-9FC7-D919C3472D73}"/>
    <hyperlink ref="O73" r:id="rId55" display="https://teams.wal-mart.com/:p:/r/sites/TechnologyandAutomation/Shared Documents/PMO/Fulfillment/NextGens/02. Presentations/01.  Steer Co Presentations/26_05_14 SteerCo.pptx?d=wfcde045a0ff1452686c02d98bf7836c7&amp;csf=1&amp;web=1&amp;e=8aJxB1" xr:uid="{46143575-5EB8-4C9E-807B-5850612A768D}"/>
    <hyperlink ref="O76" r:id="rId56" display="https://teams.wal-mart.com/:p:/r/sites/TechnologyandAutomation/Shared Documents/PMO/Fulfillment/NextGens/02. Presentations/01.  Steer Co Presentations/26_04_30 NextGen Burn Testing OpEx Required.pptx?d=wd99f0bea311e458c940769f98e41f64d&amp;csf=1&amp;web=1&amp;e=TJNOEa" xr:uid="{73104FA3-48DC-41E6-A8B4-8FCD3A15AD50}"/>
    <hyperlink ref="O75" r:id="rId57" display="https://teams.wal-mart.com/:p:/r/sites/TechnologyandAutomation/Shared Documents/PMO/Fulfillment/NextGens/02. Presentations/01.  Steer Co Presentations/26_05_20 SteerCo Wallkill Scenarios.pptx?d=waa33fa32cdff4b44be75eb893feb1364&amp;csf=1&amp;web=1&amp;e=oF1OhE" xr:uid="{ADF03195-F8AA-4911-8755-98E024B646A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5DB74-DF25-4CCC-8842-1ED468D0AB9D}">
  <sheetPr>
    <tabColor rgb="FFFFC000"/>
  </sheetPr>
  <dimension ref="A1:R72"/>
  <sheetViews>
    <sheetView zoomScale="115" zoomScaleNormal="115" workbookViewId="0">
      <pane xSplit="1" ySplit="6" topLeftCell="B54" activePane="bottomRight" state="frozen"/>
      <selection pane="topRight" activeCell="B1" sqref="B1"/>
      <selection pane="bottomLeft" activeCell="A7" sqref="A7"/>
      <selection pane="bottomRight" activeCell="D76" sqref="D76"/>
    </sheetView>
  </sheetViews>
  <sheetFormatPr defaultRowHeight="15" x14ac:dyDescent="0.25"/>
  <cols>
    <col min="1" max="1" width="35.42578125" customWidth="1"/>
    <col min="2" max="2" width="19.28515625" style="98" bestFit="1" customWidth="1"/>
    <col min="3" max="8" width="15.85546875" style="33" customWidth="1"/>
    <col min="11" max="11" width="10.140625" bestFit="1" customWidth="1"/>
    <col min="17" max="17" width="46.28515625" bestFit="1" customWidth="1"/>
  </cols>
  <sheetData>
    <row r="1" spans="1:18" x14ac:dyDescent="0.25">
      <c r="A1" t="s">
        <v>265</v>
      </c>
      <c r="B1" s="98" t="s">
        <v>266</v>
      </c>
      <c r="C1" s="98" t="s">
        <v>266</v>
      </c>
      <c r="D1" s="98" t="s">
        <v>266</v>
      </c>
      <c r="E1" s="98" t="s">
        <v>266</v>
      </c>
      <c r="F1" s="98" t="s">
        <v>266</v>
      </c>
      <c r="G1" s="98" t="s">
        <v>266</v>
      </c>
      <c r="H1" s="98" t="s">
        <v>266</v>
      </c>
      <c r="Q1" s="141" t="s">
        <v>657</v>
      </c>
      <c r="R1" s="97"/>
    </row>
    <row r="2" spans="1:18" x14ac:dyDescent="0.25">
      <c r="A2" t="s">
        <v>310</v>
      </c>
      <c r="B2" s="98" t="s">
        <v>301</v>
      </c>
      <c r="C2" s="33" t="s">
        <v>304</v>
      </c>
      <c r="D2" s="33" t="s">
        <v>305</v>
      </c>
      <c r="E2" s="33" t="s">
        <v>306</v>
      </c>
      <c r="F2" s="33" t="s">
        <v>307</v>
      </c>
      <c r="G2" s="33" t="s">
        <v>308</v>
      </c>
      <c r="H2" s="33" t="s">
        <v>309</v>
      </c>
      <c r="Q2" s="142" t="s">
        <v>658</v>
      </c>
      <c r="R2" s="97"/>
    </row>
    <row r="3" spans="1:18" s="97" customFormat="1" x14ac:dyDescent="0.25">
      <c r="A3" s="97" t="s">
        <v>378</v>
      </c>
      <c r="B3" s="104" t="s">
        <v>300</v>
      </c>
      <c r="C3" s="105" t="s">
        <v>373</v>
      </c>
      <c r="D3" s="105" t="s">
        <v>374</v>
      </c>
      <c r="E3" s="105" t="s">
        <v>395</v>
      </c>
      <c r="F3" s="105" t="s">
        <v>375</v>
      </c>
      <c r="G3" s="105" t="s">
        <v>376</v>
      </c>
      <c r="H3" s="105" t="s">
        <v>377</v>
      </c>
      <c r="Q3" s="143" t="s">
        <v>659</v>
      </c>
    </row>
    <row r="4" spans="1:18" x14ac:dyDescent="0.25">
      <c r="A4" t="s">
        <v>311</v>
      </c>
      <c r="B4" s="98" t="s">
        <v>312</v>
      </c>
      <c r="C4" s="33" t="s">
        <v>315</v>
      </c>
      <c r="D4" s="33" t="s">
        <v>316</v>
      </c>
      <c r="E4" s="33" t="s">
        <v>318</v>
      </c>
      <c r="F4" s="33" t="s">
        <v>319</v>
      </c>
      <c r="G4" s="33" t="s">
        <v>320</v>
      </c>
      <c r="H4" s="33" t="s">
        <v>321</v>
      </c>
    </row>
    <row r="5" spans="1:18" x14ac:dyDescent="0.25">
      <c r="A5" t="s">
        <v>314</v>
      </c>
      <c r="B5" s="33">
        <v>4843</v>
      </c>
      <c r="C5" s="33" t="s">
        <v>84</v>
      </c>
      <c r="D5" s="33">
        <v>7028</v>
      </c>
      <c r="E5" s="33" t="s">
        <v>84</v>
      </c>
      <c r="F5" s="33" t="s">
        <v>84</v>
      </c>
      <c r="G5" s="33" t="s">
        <v>84</v>
      </c>
      <c r="H5" s="33" t="s">
        <v>84</v>
      </c>
    </row>
    <row r="6" spans="1:18" x14ac:dyDescent="0.25">
      <c r="A6" t="s">
        <v>313</v>
      </c>
      <c r="B6" s="98" t="s">
        <v>302</v>
      </c>
      <c r="C6" s="33" t="s">
        <v>84</v>
      </c>
      <c r="D6" s="33" t="s">
        <v>317</v>
      </c>
      <c r="E6" s="33" t="s">
        <v>539</v>
      </c>
      <c r="F6" s="33" t="s">
        <v>540</v>
      </c>
      <c r="G6" s="33" t="s">
        <v>541</v>
      </c>
      <c r="H6" s="33" t="s">
        <v>542</v>
      </c>
    </row>
    <row r="7" spans="1:18" x14ac:dyDescent="0.25">
      <c r="A7" t="s">
        <v>326</v>
      </c>
      <c r="B7" s="119">
        <v>45923</v>
      </c>
      <c r="C7" s="98">
        <v>46100</v>
      </c>
      <c r="D7" s="98">
        <v>46100</v>
      </c>
      <c r="E7" s="98">
        <v>46128</v>
      </c>
      <c r="F7" s="98">
        <v>46135</v>
      </c>
      <c r="G7" s="98">
        <v>46135</v>
      </c>
      <c r="H7" s="98">
        <v>46135</v>
      </c>
      <c r="I7" s="98" t="s">
        <v>218</v>
      </c>
    </row>
    <row r="8" spans="1:18" x14ac:dyDescent="0.25">
      <c r="A8" s="138" t="s">
        <v>290</v>
      </c>
    </row>
    <row r="9" spans="1:18" x14ac:dyDescent="0.25">
      <c r="A9" s="147" t="s">
        <v>670</v>
      </c>
      <c r="E9" s="135">
        <v>46164</v>
      </c>
      <c r="F9" s="135">
        <v>46164</v>
      </c>
      <c r="G9" s="33" t="s">
        <v>84</v>
      </c>
      <c r="H9" s="33" t="s">
        <v>84</v>
      </c>
    </row>
    <row r="10" spans="1:18" x14ac:dyDescent="0.25">
      <c r="A10" t="s">
        <v>538</v>
      </c>
      <c r="B10" s="98">
        <v>45792</v>
      </c>
      <c r="C10" s="98">
        <v>45979</v>
      </c>
      <c r="D10" s="98">
        <v>45979</v>
      </c>
      <c r="E10" s="98">
        <v>46128</v>
      </c>
      <c r="F10" s="98">
        <v>46128</v>
      </c>
      <c r="G10" s="98">
        <v>46128</v>
      </c>
      <c r="H10" s="98">
        <v>46128</v>
      </c>
      <c r="I10" s="96"/>
    </row>
    <row r="11" spans="1:18" x14ac:dyDescent="0.25">
      <c r="A11" t="s">
        <v>276</v>
      </c>
      <c r="B11" s="98">
        <v>45792</v>
      </c>
      <c r="C11" s="98">
        <v>45979</v>
      </c>
      <c r="D11" s="98">
        <v>45860</v>
      </c>
      <c r="E11" s="98" t="s">
        <v>84</v>
      </c>
      <c r="F11" s="98" t="s">
        <v>84</v>
      </c>
      <c r="G11" s="98" t="s">
        <v>84</v>
      </c>
      <c r="H11" s="98" t="s">
        <v>84</v>
      </c>
      <c r="I11" s="96"/>
    </row>
    <row r="12" spans="1:18" x14ac:dyDescent="0.25">
      <c r="A12" t="s">
        <v>277</v>
      </c>
      <c r="B12" s="98">
        <v>45855</v>
      </c>
      <c r="C12" s="98">
        <v>46080</v>
      </c>
      <c r="D12" s="98">
        <v>45993</v>
      </c>
      <c r="E12" s="98" t="s">
        <v>84</v>
      </c>
      <c r="F12" s="98" t="s">
        <v>84</v>
      </c>
      <c r="G12" s="98" t="s">
        <v>84</v>
      </c>
      <c r="H12" s="98" t="s">
        <v>84</v>
      </c>
      <c r="I12" s="96"/>
    </row>
    <row r="13" spans="1:18" x14ac:dyDescent="0.25">
      <c r="A13" t="s">
        <v>278</v>
      </c>
      <c r="B13" s="98">
        <v>45971</v>
      </c>
      <c r="C13" s="131">
        <v>46080</v>
      </c>
      <c r="D13" s="98">
        <v>46080</v>
      </c>
      <c r="E13" s="98" t="s">
        <v>84</v>
      </c>
      <c r="F13" s="98" t="s">
        <v>84</v>
      </c>
      <c r="G13" s="98" t="s">
        <v>84</v>
      </c>
      <c r="H13" s="98" t="s">
        <v>84</v>
      </c>
      <c r="I13" s="96"/>
    </row>
    <row r="14" spans="1:18" x14ac:dyDescent="0.25">
      <c r="A14" t="s">
        <v>547</v>
      </c>
      <c r="B14" s="98">
        <v>45971</v>
      </c>
      <c r="C14" s="98">
        <v>46253</v>
      </c>
      <c r="D14" s="131">
        <v>46164</v>
      </c>
      <c r="E14" s="98" t="s">
        <v>84</v>
      </c>
      <c r="F14" s="98" t="s">
        <v>84</v>
      </c>
      <c r="G14" s="98" t="s">
        <v>84</v>
      </c>
      <c r="H14" s="98" t="s">
        <v>84</v>
      </c>
      <c r="I14" s="96"/>
    </row>
    <row r="15" spans="1:18" x14ac:dyDescent="0.25">
      <c r="A15" t="s">
        <v>279</v>
      </c>
      <c r="B15" s="98">
        <v>45971</v>
      </c>
      <c r="C15" s="98">
        <v>46253</v>
      </c>
      <c r="D15" s="98">
        <v>46253</v>
      </c>
      <c r="E15" s="98" t="s">
        <v>84</v>
      </c>
      <c r="F15" s="98" t="s">
        <v>84</v>
      </c>
      <c r="G15" s="98" t="s">
        <v>84</v>
      </c>
      <c r="H15" s="98" t="s">
        <v>84</v>
      </c>
      <c r="I15" s="96"/>
    </row>
    <row r="16" spans="1:18" x14ac:dyDescent="0.25">
      <c r="A16" s="97" t="s">
        <v>303</v>
      </c>
      <c r="B16" s="98">
        <v>45800</v>
      </c>
      <c r="C16" s="98">
        <v>46114</v>
      </c>
      <c r="D16" s="98">
        <v>45952</v>
      </c>
      <c r="E16" s="98">
        <v>46248</v>
      </c>
      <c r="F16" s="131">
        <v>46248</v>
      </c>
      <c r="G16" s="98">
        <v>46283</v>
      </c>
      <c r="H16" s="98">
        <v>46283</v>
      </c>
      <c r="I16" s="96"/>
      <c r="K16" s="117"/>
    </row>
    <row r="17" spans="1:11" x14ac:dyDescent="0.25">
      <c r="A17" s="97" t="s">
        <v>578</v>
      </c>
      <c r="B17" s="140">
        <v>45859</v>
      </c>
      <c r="C17" s="140">
        <v>46083</v>
      </c>
      <c r="D17" s="140">
        <v>45992</v>
      </c>
      <c r="E17" s="98"/>
      <c r="F17" s="119"/>
      <c r="G17" s="98"/>
      <c r="H17" s="98"/>
      <c r="I17" s="96"/>
      <c r="K17" s="117"/>
    </row>
    <row r="18" spans="1:11" x14ac:dyDescent="0.25">
      <c r="A18" t="s">
        <v>280</v>
      </c>
      <c r="B18" s="98">
        <v>45958</v>
      </c>
      <c r="C18" s="98">
        <v>46199</v>
      </c>
      <c r="D18" s="98">
        <v>46080</v>
      </c>
      <c r="E18" s="136">
        <v>46367</v>
      </c>
      <c r="F18" s="136">
        <v>46269</v>
      </c>
      <c r="G18" s="136">
        <v>46395</v>
      </c>
      <c r="H18" s="136">
        <v>46395</v>
      </c>
      <c r="I18" s="96"/>
    </row>
    <row r="19" spans="1:11" x14ac:dyDescent="0.25">
      <c r="A19" s="97" t="s">
        <v>281</v>
      </c>
      <c r="B19" s="98">
        <v>45982</v>
      </c>
      <c r="C19" s="98">
        <v>46227</v>
      </c>
      <c r="D19" s="98">
        <v>46115</v>
      </c>
      <c r="E19" s="136">
        <v>46416</v>
      </c>
      <c r="F19" s="136">
        <v>46416</v>
      </c>
      <c r="G19" s="136">
        <v>46430</v>
      </c>
      <c r="H19" s="136">
        <v>46430</v>
      </c>
      <c r="I19" s="96"/>
    </row>
    <row r="20" spans="1:11" x14ac:dyDescent="0.25">
      <c r="A20" t="s">
        <v>282</v>
      </c>
      <c r="B20" s="98">
        <v>46087</v>
      </c>
      <c r="C20" s="98">
        <v>46269</v>
      </c>
      <c r="D20" s="98">
        <v>46171</v>
      </c>
      <c r="E20" s="136">
        <v>46451</v>
      </c>
      <c r="F20" s="136">
        <v>46451</v>
      </c>
      <c r="G20" s="136">
        <v>46465</v>
      </c>
      <c r="H20" s="136">
        <v>46465</v>
      </c>
      <c r="I20" s="96"/>
    </row>
    <row r="21" spans="1:11" x14ac:dyDescent="0.25">
      <c r="A21" s="97" t="s">
        <v>283</v>
      </c>
      <c r="B21" s="98">
        <v>46122</v>
      </c>
      <c r="C21" s="98">
        <v>46297</v>
      </c>
      <c r="D21" s="98">
        <v>46206</v>
      </c>
      <c r="E21" s="136">
        <v>46486</v>
      </c>
      <c r="F21" s="136">
        <v>46486</v>
      </c>
      <c r="G21" s="136">
        <v>46500</v>
      </c>
      <c r="H21" s="136">
        <v>46500</v>
      </c>
      <c r="I21" s="96"/>
    </row>
    <row r="22" spans="1:11" x14ac:dyDescent="0.25">
      <c r="A22" t="s">
        <v>284</v>
      </c>
      <c r="B22" s="98">
        <v>46143</v>
      </c>
      <c r="C22" s="98">
        <v>46339</v>
      </c>
      <c r="D22" s="98">
        <v>46241</v>
      </c>
      <c r="E22" s="136">
        <v>46521</v>
      </c>
      <c r="F22" s="136">
        <v>46521</v>
      </c>
      <c r="G22" s="136">
        <v>46535</v>
      </c>
      <c r="H22" s="136">
        <v>46535</v>
      </c>
      <c r="I22" s="96"/>
    </row>
    <row r="23" spans="1:11" x14ac:dyDescent="0.25">
      <c r="A23" t="s">
        <v>285</v>
      </c>
      <c r="B23" s="98">
        <v>46153</v>
      </c>
      <c r="C23" s="98">
        <v>46370</v>
      </c>
      <c r="D23" s="98">
        <v>46132</v>
      </c>
      <c r="E23" s="136">
        <v>46531</v>
      </c>
      <c r="F23" s="136">
        <v>46531</v>
      </c>
      <c r="G23" s="136">
        <v>46545</v>
      </c>
      <c r="H23" s="136">
        <v>46545</v>
      </c>
      <c r="I23" s="96"/>
    </row>
    <row r="24" spans="1:11" x14ac:dyDescent="0.25">
      <c r="A24" t="s">
        <v>286</v>
      </c>
      <c r="B24" s="98">
        <v>46248</v>
      </c>
      <c r="C24" s="98">
        <v>46465</v>
      </c>
      <c r="D24" s="98">
        <v>46780</v>
      </c>
      <c r="E24" s="136">
        <v>46731</v>
      </c>
      <c r="F24" s="136">
        <v>46731</v>
      </c>
      <c r="G24" s="136">
        <v>46913</v>
      </c>
      <c r="H24" s="136">
        <v>46913</v>
      </c>
      <c r="I24" s="96"/>
    </row>
    <row r="25" spans="1:11" x14ac:dyDescent="0.25">
      <c r="A25" s="97" t="s">
        <v>287</v>
      </c>
      <c r="B25" s="98">
        <v>46272</v>
      </c>
      <c r="C25" s="98">
        <v>46496</v>
      </c>
      <c r="D25" s="98">
        <v>46811</v>
      </c>
      <c r="E25" s="136">
        <v>46762</v>
      </c>
      <c r="F25" s="136">
        <v>46762</v>
      </c>
      <c r="G25" s="136">
        <v>46944</v>
      </c>
      <c r="H25" s="136">
        <v>46944</v>
      </c>
      <c r="I25" s="96"/>
    </row>
    <row r="26" spans="1:11" x14ac:dyDescent="0.25">
      <c r="A26" s="97" t="s">
        <v>325</v>
      </c>
      <c r="B26" s="98">
        <v>46878</v>
      </c>
      <c r="C26" s="98">
        <v>47102</v>
      </c>
      <c r="D26" s="98">
        <v>47417</v>
      </c>
      <c r="E26" s="136">
        <v>47375</v>
      </c>
      <c r="F26" s="136">
        <v>47375</v>
      </c>
      <c r="G26" s="136">
        <v>47543</v>
      </c>
      <c r="H26" s="136">
        <v>47543</v>
      </c>
      <c r="I26" s="96"/>
    </row>
    <row r="27" spans="1:11" x14ac:dyDescent="0.25">
      <c r="A27" s="97" t="s">
        <v>288</v>
      </c>
      <c r="B27" s="98">
        <v>47056</v>
      </c>
      <c r="C27" s="98">
        <v>47291</v>
      </c>
      <c r="D27" s="98">
        <v>47616</v>
      </c>
      <c r="E27" s="136">
        <v>47553</v>
      </c>
      <c r="F27" s="136">
        <v>47553</v>
      </c>
      <c r="G27" s="136">
        <v>47735</v>
      </c>
      <c r="H27" s="136">
        <v>47735</v>
      </c>
      <c r="I27" s="96"/>
    </row>
    <row r="28" spans="1:11" x14ac:dyDescent="0.25">
      <c r="A28" s="97" t="s">
        <v>289</v>
      </c>
      <c r="B28" s="98">
        <v>47245</v>
      </c>
      <c r="C28" s="98">
        <v>47455</v>
      </c>
      <c r="D28" s="98">
        <v>47791</v>
      </c>
      <c r="E28" s="136">
        <v>47728</v>
      </c>
      <c r="F28" s="136">
        <v>47728</v>
      </c>
      <c r="G28" s="136">
        <v>47917</v>
      </c>
      <c r="H28" s="136">
        <v>47917</v>
      </c>
      <c r="I28" s="96"/>
    </row>
    <row r="29" spans="1:11" x14ac:dyDescent="0.25">
      <c r="A29" s="97" t="s">
        <v>537</v>
      </c>
      <c r="B29" s="98" t="s">
        <v>348</v>
      </c>
      <c r="C29" s="98" t="s">
        <v>349</v>
      </c>
      <c r="D29" s="98" t="s">
        <v>350</v>
      </c>
      <c r="E29" s="136" t="s">
        <v>350</v>
      </c>
      <c r="F29" s="136" t="s">
        <v>350</v>
      </c>
      <c r="G29" s="136" t="s">
        <v>350</v>
      </c>
      <c r="H29" s="136" t="s">
        <v>350</v>
      </c>
      <c r="I29" s="96"/>
    </row>
    <row r="30" spans="1:11" x14ac:dyDescent="0.25">
      <c r="A30" s="97" t="s">
        <v>543</v>
      </c>
      <c r="B30" s="98" t="s">
        <v>348</v>
      </c>
      <c r="C30" s="98" t="s">
        <v>349</v>
      </c>
      <c r="D30" s="98" t="s">
        <v>350</v>
      </c>
      <c r="E30" s="136" t="s">
        <v>350</v>
      </c>
      <c r="F30" s="136" t="s">
        <v>350</v>
      </c>
      <c r="G30" s="136" t="s">
        <v>350</v>
      </c>
      <c r="H30" s="136" t="s">
        <v>350</v>
      </c>
      <c r="I30" s="96"/>
    </row>
    <row r="31" spans="1:11" ht="15.75" x14ac:dyDescent="0.25">
      <c r="A31" s="139" t="s">
        <v>324</v>
      </c>
      <c r="C31" s="98"/>
      <c r="D31" s="98"/>
      <c r="E31" s="98"/>
      <c r="F31" s="98"/>
      <c r="G31" s="98"/>
      <c r="H31" s="98"/>
      <c r="I31" s="96"/>
    </row>
    <row r="32" spans="1:11" ht="15.75" x14ac:dyDescent="0.25">
      <c r="A32" s="94" t="s">
        <v>291</v>
      </c>
      <c r="B32" s="98">
        <v>46107</v>
      </c>
      <c r="C32" s="98">
        <v>46307</v>
      </c>
      <c r="D32" s="98">
        <v>46188</v>
      </c>
      <c r="E32" s="98" t="s">
        <v>84</v>
      </c>
      <c r="F32" s="98" t="s">
        <v>84</v>
      </c>
      <c r="G32" s="98" t="s">
        <v>84</v>
      </c>
      <c r="H32" s="98" t="s">
        <v>84</v>
      </c>
      <c r="I32" s="96"/>
    </row>
    <row r="33" spans="1:9" ht="15.75" x14ac:dyDescent="0.25">
      <c r="A33" s="94" t="s">
        <v>292</v>
      </c>
      <c r="B33" s="98">
        <v>46100</v>
      </c>
      <c r="C33" s="98">
        <v>46317</v>
      </c>
      <c r="D33" s="98">
        <v>46198</v>
      </c>
      <c r="E33" s="98" t="s">
        <v>84</v>
      </c>
      <c r="F33" s="98" t="s">
        <v>84</v>
      </c>
      <c r="G33" s="98" t="s">
        <v>84</v>
      </c>
      <c r="H33" s="98" t="s">
        <v>84</v>
      </c>
      <c r="I33" s="96"/>
    </row>
    <row r="34" spans="1:9" ht="15.75" x14ac:dyDescent="0.25">
      <c r="A34" s="95" t="s">
        <v>293</v>
      </c>
      <c r="B34" s="98">
        <v>46108</v>
      </c>
      <c r="C34" s="98">
        <v>46318</v>
      </c>
      <c r="D34" s="98">
        <v>46213</v>
      </c>
      <c r="E34" s="98" t="s">
        <v>84</v>
      </c>
      <c r="F34" s="98" t="s">
        <v>84</v>
      </c>
      <c r="G34" s="98" t="s">
        <v>84</v>
      </c>
      <c r="H34" s="98" t="s">
        <v>84</v>
      </c>
      <c r="I34" s="96"/>
    </row>
    <row r="35" spans="1:9" ht="15.75" x14ac:dyDescent="0.25">
      <c r="A35" s="94" t="s">
        <v>334</v>
      </c>
      <c r="B35" s="98">
        <v>46111</v>
      </c>
      <c r="C35" s="98">
        <v>46321</v>
      </c>
      <c r="D35" s="98">
        <v>46216</v>
      </c>
      <c r="E35" s="98" t="s">
        <v>84</v>
      </c>
      <c r="F35" s="98" t="s">
        <v>84</v>
      </c>
      <c r="G35" s="98" t="s">
        <v>84</v>
      </c>
      <c r="H35" s="98" t="s">
        <v>84</v>
      </c>
      <c r="I35" s="96"/>
    </row>
    <row r="36" spans="1:9" ht="15.75" x14ac:dyDescent="0.25">
      <c r="A36" s="95" t="s">
        <v>294</v>
      </c>
      <c r="B36" s="98">
        <v>46107</v>
      </c>
      <c r="C36" s="98">
        <v>46309</v>
      </c>
      <c r="D36" s="98">
        <v>46211</v>
      </c>
      <c r="E36" s="98" t="s">
        <v>84</v>
      </c>
      <c r="F36" s="98" t="s">
        <v>84</v>
      </c>
      <c r="G36" s="98" t="s">
        <v>84</v>
      </c>
      <c r="H36" s="98" t="s">
        <v>84</v>
      </c>
      <c r="I36" s="96"/>
    </row>
    <row r="37" spans="1:9" ht="15.75" x14ac:dyDescent="0.25">
      <c r="A37" s="94" t="s">
        <v>295</v>
      </c>
      <c r="B37" s="98">
        <v>46114</v>
      </c>
      <c r="C37" s="98">
        <v>46317</v>
      </c>
      <c r="D37" s="98">
        <v>46217</v>
      </c>
      <c r="E37" s="98" t="s">
        <v>84</v>
      </c>
      <c r="F37" s="98" t="s">
        <v>84</v>
      </c>
      <c r="G37" s="98" t="s">
        <v>84</v>
      </c>
      <c r="H37" s="98" t="s">
        <v>84</v>
      </c>
      <c r="I37" s="96"/>
    </row>
    <row r="38" spans="1:9" ht="15.75" x14ac:dyDescent="0.25">
      <c r="A38" s="95" t="s">
        <v>296</v>
      </c>
      <c r="B38" s="98">
        <v>46122</v>
      </c>
      <c r="C38" s="98">
        <v>46323</v>
      </c>
      <c r="D38" s="98">
        <v>46224</v>
      </c>
      <c r="E38" s="98" t="s">
        <v>84</v>
      </c>
      <c r="F38" s="98" t="s">
        <v>84</v>
      </c>
      <c r="G38" s="98" t="s">
        <v>84</v>
      </c>
      <c r="H38" s="98" t="s">
        <v>84</v>
      </c>
      <c r="I38" s="96"/>
    </row>
    <row r="39" spans="1:9" ht="15.75" x14ac:dyDescent="0.25">
      <c r="A39" s="94" t="s">
        <v>259</v>
      </c>
      <c r="B39" s="98">
        <v>46127</v>
      </c>
      <c r="C39" s="98">
        <v>46330</v>
      </c>
      <c r="D39" s="98">
        <v>46231</v>
      </c>
      <c r="E39" s="98" t="s">
        <v>84</v>
      </c>
      <c r="F39" s="98" t="s">
        <v>84</v>
      </c>
      <c r="G39" s="98" t="s">
        <v>84</v>
      </c>
      <c r="H39" s="98" t="s">
        <v>84</v>
      </c>
      <c r="I39" s="96"/>
    </row>
    <row r="40" spans="1:9" ht="15.75" x14ac:dyDescent="0.25">
      <c r="A40" s="95" t="s">
        <v>424</v>
      </c>
      <c r="B40" s="98">
        <v>46139</v>
      </c>
      <c r="C40" s="98">
        <v>46341</v>
      </c>
      <c r="D40" s="119">
        <v>46230</v>
      </c>
      <c r="E40" s="98" t="s">
        <v>84</v>
      </c>
      <c r="F40" s="98" t="s">
        <v>84</v>
      </c>
      <c r="G40" s="98" t="s">
        <v>84</v>
      </c>
      <c r="H40" s="98" t="s">
        <v>84</v>
      </c>
      <c r="I40" s="96"/>
    </row>
    <row r="41" spans="1:9" ht="15.75" x14ac:dyDescent="0.25">
      <c r="A41" s="94" t="s">
        <v>297</v>
      </c>
      <c r="B41" s="98">
        <v>46146</v>
      </c>
      <c r="C41" s="98">
        <v>46345</v>
      </c>
      <c r="D41" s="98">
        <v>46237</v>
      </c>
      <c r="E41" s="98" t="s">
        <v>84</v>
      </c>
      <c r="F41" s="98" t="s">
        <v>84</v>
      </c>
      <c r="G41" s="98" t="s">
        <v>84</v>
      </c>
      <c r="H41" s="98" t="s">
        <v>84</v>
      </c>
      <c r="I41" s="96"/>
    </row>
    <row r="42" spans="1:9" ht="15.75" x14ac:dyDescent="0.25">
      <c r="A42" s="95" t="s">
        <v>298</v>
      </c>
      <c r="B42" s="98">
        <v>46147</v>
      </c>
      <c r="C42" s="98">
        <v>46345</v>
      </c>
      <c r="D42" s="98">
        <v>46238</v>
      </c>
      <c r="E42" s="98" t="s">
        <v>84</v>
      </c>
      <c r="F42" s="98" t="s">
        <v>84</v>
      </c>
      <c r="G42" s="98" t="s">
        <v>84</v>
      </c>
      <c r="H42" s="98" t="s">
        <v>84</v>
      </c>
      <c r="I42" s="96"/>
    </row>
    <row r="43" spans="1:9" ht="15.75" x14ac:dyDescent="0.25">
      <c r="A43" s="94" t="s">
        <v>261</v>
      </c>
      <c r="B43" s="98">
        <v>46153</v>
      </c>
      <c r="C43" s="98">
        <v>46358</v>
      </c>
      <c r="D43" s="98">
        <v>46244</v>
      </c>
      <c r="E43" s="98" t="s">
        <v>84</v>
      </c>
      <c r="F43" s="98" t="s">
        <v>84</v>
      </c>
      <c r="G43" s="98" t="s">
        <v>84</v>
      </c>
      <c r="H43" s="98" t="s">
        <v>84</v>
      </c>
      <c r="I43" s="96"/>
    </row>
    <row r="44" spans="1:9" ht="15.75" x14ac:dyDescent="0.25">
      <c r="A44" s="95" t="s">
        <v>594</v>
      </c>
      <c r="B44" s="98">
        <v>46148</v>
      </c>
      <c r="C44" s="98"/>
      <c r="D44" s="98"/>
      <c r="E44" s="98"/>
      <c r="F44" s="98"/>
      <c r="G44" s="98"/>
      <c r="H44" s="98"/>
      <c r="I44" s="96"/>
    </row>
    <row r="45" spans="1:9" ht="15.75" x14ac:dyDescent="0.25">
      <c r="A45" s="94" t="s">
        <v>595</v>
      </c>
      <c r="B45" s="98">
        <v>46154</v>
      </c>
      <c r="C45" s="98"/>
      <c r="D45" s="98"/>
      <c r="E45" s="98"/>
      <c r="F45" s="98"/>
      <c r="G45" s="98"/>
      <c r="H45" s="98"/>
      <c r="I45" s="96"/>
    </row>
    <row r="46" spans="1:9" ht="15.75" x14ac:dyDescent="0.25">
      <c r="A46" s="95" t="s">
        <v>299</v>
      </c>
      <c r="B46" s="98">
        <v>46154</v>
      </c>
      <c r="C46" s="98">
        <v>46357</v>
      </c>
      <c r="D46" s="98">
        <v>46245</v>
      </c>
      <c r="E46" s="98" t="s">
        <v>84</v>
      </c>
      <c r="F46" s="98" t="s">
        <v>84</v>
      </c>
      <c r="G46" s="98" t="s">
        <v>84</v>
      </c>
      <c r="H46" s="98" t="s">
        <v>84</v>
      </c>
      <c r="I46" s="96"/>
    </row>
    <row r="47" spans="1:9" ht="15.75" x14ac:dyDescent="0.25">
      <c r="A47" s="94" t="s">
        <v>262</v>
      </c>
      <c r="B47" s="98">
        <v>46162</v>
      </c>
      <c r="C47" s="98">
        <v>46366</v>
      </c>
      <c r="D47" s="98">
        <v>46253</v>
      </c>
      <c r="E47" s="136">
        <v>46555</v>
      </c>
      <c r="F47" s="136">
        <v>46555</v>
      </c>
      <c r="G47" s="136">
        <v>46583</v>
      </c>
      <c r="H47" s="136">
        <v>46583</v>
      </c>
      <c r="I47" s="96"/>
    </row>
    <row r="48" spans="1:9" x14ac:dyDescent="0.25">
      <c r="A48" s="138" t="s">
        <v>338</v>
      </c>
    </row>
    <row r="49" spans="1:8" x14ac:dyDescent="0.25">
      <c r="A49" t="s">
        <v>527</v>
      </c>
      <c r="B49" s="98">
        <f t="shared" ref="B49:H49" si="0">B18-30</f>
        <v>45928</v>
      </c>
      <c r="C49" s="98">
        <f t="shared" si="0"/>
        <v>46169</v>
      </c>
      <c r="D49" s="98">
        <f t="shared" si="0"/>
        <v>46050</v>
      </c>
      <c r="E49" s="98">
        <f t="shared" si="0"/>
        <v>46337</v>
      </c>
      <c r="F49" s="98">
        <f t="shared" si="0"/>
        <v>46239</v>
      </c>
      <c r="G49" s="98">
        <f t="shared" si="0"/>
        <v>46365</v>
      </c>
      <c r="H49" s="98">
        <f t="shared" si="0"/>
        <v>46365</v>
      </c>
    </row>
    <row r="50" spans="1:8" x14ac:dyDescent="0.25">
      <c r="A50" t="s">
        <v>528</v>
      </c>
      <c r="B50" s="98">
        <f t="shared" ref="B50:H50" si="1">B20-30</f>
        <v>46057</v>
      </c>
      <c r="C50" s="98">
        <f t="shared" si="1"/>
        <v>46239</v>
      </c>
      <c r="D50" s="98">
        <f t="shared" si="1"/>
        <v>46141</v>
      </c>
      <c r="E50" s="98">
        <f t="shared" si="1"/>
        <v>46421</v>
      </c>
      <c r="F50" s="98">
        <f t="shared" si="1"/>
        <v>46421</v>
      </c>
      <c r="G50" s="98">
        <f t="shared" si="1"/>
        <v>46435</v>
      </c>
      <c r="H50" s="98">
        <f t="shared" si="1"/>
        <v>46435</v>
      </c>
    </row>
    <row r="51" spans="1:8" x14ac:dyDescent="0.25">
      <c r="A51" t="s">
        <v>529</v>
      </c>
      <c r="B51" s="98">
        <f t="shared" ref="B51:H51" si="2">B22-30</f>
        <v>46113</v>
      </c>
      <c r="C51" s="98">
        <f t="shared" si="2"/>
        <v>46309</v>
      </c>
      <c r="D51" s="98">
        <f t="shared" si="2"/>
        <v>46211</v>
      </c>
      <c r="E51" s="98">
        <f t="shared" si="2"/>
        <v>46491</v>
      </c>
      <c r="F51" s="98">
        <f t="shared" si="2"/>
        <v>46491</v>
      </c>
      <c r="G51" s="98">
        <f t="shared" si="2"/>
        <v>46505</v>
      </c>
      <c r="H51" s="98">
        <f t="shared" si="2"/>
        <v>46505</v>
      </c>
    </row>
    <row r="52" spans="1:8" x14ac:dyDescent="0.25">
      <c r="A52" t="s">
        <v>530</v>
      </c>
      <c r="B52" s="98">
        <f t="shared" ref="B52:C52" si="3">B47+7</f>
        <v>46169</v>
      </c>
      <c r="C52" s="98">
        <f t="shared" si="3"/>
        <v>46373</v>
      </c>
      <c r="D52" s="98">
        <f>D47+7</f>
        <v>46260</v>
      </c>
      <c r="E52" s="98">
        <f t="shared" ref="E52:H52" si="4">E47+7</f>
        <v>46562</v>
      </c>
      <c r="F52" s="98">
        <f t="shared" si="4"/>
        <v>46562</v>
      </c>
      <c r="G52" s="98">
        <f t="shared" si="4"/>
        <v>46590</v>
      </c>
      <c r="H52" s="98">
        <f t="shared" si="4"/>
        <v>46590</v>
      </c>
    </row>
    <row r="53" spans="1:8" x14ac:dyDescent="0.25">
      <c r="A53" t="s">
        <v>524</v>
      </c>
      <c r="B53" s="98">
        <f t="shared" ref="B53:C53" si="5">B27-517</f>
        <v>46539</v>
      </c>
      <c r="C53" s="98">
        <f t="shared" si="5"/>
        <v>46774</v>
      </c>
      <c r="D53" s="98">
        <f>D27-517</f>
        <v>47099</v>
      </c>
      <c r="E53" s="98">
        <f>E27-517</f>
        <v>47036</v>
      </c>
      <c r="F53" s="98">
        <f t="shared" ref="F53:H53" si="6">F27-517</f>
        <v>47036</v>
      </c>
      <c r="G53" s="98">
        <f t="shared" si="6"/>
        <v>47218</v>
      </c>
      <c r="H53" s="98">
        <f t="shared" si="6"/>
        <v>47218</v>
      </c>
    </row>
    <row r="54" spans="1:8" x14ac:dyDescent="0.25">
      <c r="A54" t="s">
        <v>525</v>
      </c>
      <c r="B54" s="33" t="s">
        <v>84</v>
      </c>
      <c r="C54" s="33" t="s">
        <v>84</v>
      </c>
      <c r="D54" s="33" t="s">
        <v>84</v>
      </c>
      <c r="E54" s="33" t="s">
        <v>84</v>
      </c>
      <c r="F54" s="33" t="s">
        <v>84</v>
      </c>
      <c r="G54" s="33" t="s">
        <v>84</v>
      </c>
      <c r="H54" s="33" t="s">
        <v>84</v>
      </c>
    </row>
    <row r="55" spans="1:8" x14ac:dyDescent="0.25">
      <c r="A55" t="s">
        <v>526</v>
      </c>
      <c r="B55" s="33" t="s">
        <v>84</v>
      </c>
      <c r="C55" s="33" t="s">
        <v>84</v>
      </c>
      <c r="D55" s="33" t="s">
        <v>84</v>
      </c>
      <c r="E55" s="33" t="s">
        <v>84</v>
      </c>
      <c r="F55" s="33" t="s">
        <v>84</v>
      </c>
      <c r="G55" s="33" t="s">
        <v>84</v>
      </c>
      <c r="H55" s="33" t="s">
        <v>84</v>
      </c>
    </row>
    <row r="56" spans="1:8" x14ac:dyDescent="0.25">
      <c r="A56" s="138" t="s">
        <v>414</v>
      </c>
    </row>
    <row r="57" spans="1:8" x14ac:dyDescent="0.25">
      <c r="A57" t="s">
        <v>416</v>
      </c>
      <c r="B57" s="98">
        <v>46097</v>
      </c>
      <c r="C57" s="33" t="s">
        <v>84</v>
      </c>
      <c r="D57" s="98">
        <f>D58-14</f>
        <v>46153</v>
      </c>
      <c r="E57" s="33" t="s">
        <v>84</v>
      </c>
      <c r="F57" s="33" t="s">
        <v>84</v>
      </c>
      <c r="G57" s="33" t="s">
        <v>84</v>
      </c>
      <c r="H57" s="33" t="s">
        <v>84</v>
      </c>
    </row>
    <row r="58" spans="1:8" x14ac:dyDescent="0.25">
      <c r="A58" t="s">
        <v>417</v>
      </c>
      <c r="B58" s="98">
        <v>46118</v>
      </c>
      <c r="C58" s="33" t="s">
        <v>84</v>
      </c>
      <c r="D58" s="98">
        <f>D32-21</f>
        <v>46167</v>
      </c>
      <c r="E58" s="33" t="s">
        <v>84</v>
      </c>
      <c r="F58" s="33" t="s">
        <v>84</v>
      </c>
      <c r="G58" s="33" t="s">
        <v>84</v>
      </c>
      <c r="H58" s="33" t="s">
        <v>84</v>
      </c>
    </row>
    <row r="59" spans="1:8" x14ac:dyDescent="0.25">
      <c r="A59" t="s">
        <v>418</v>
      </c>
      <c r="B59" s="98">
        <v>46122</v>
      </c>
      <c r="C59" s="33" t="s">
        <v>84</v>
      </c>
      <c r="D59" s="98">
        <v>46181</v>
      </c>
      <c r="E59" s="33" t="s">
        <v>84</v>
      </c>
      <c r="F59" s="33" t="s">
        <v>84</v>
      </c>
      <c r="G59" s="33" t="s">
        <v>84</v>
      </c>
      <c r="H59" s="33" t="s">
        <v>84</v>
      </c>
    </row>
    <row r="60" spans="1:8" x14ac:dyDescent="0.25">
      <c r="A60" t="s">
        <v>415</v>
      </c>
      <c r="B60" s="98" t="s">
        <v>84</v>
      </c>
      <c r="C60" s="33" t="s">
        <v>84</v>
      </c>
      <c r="D60" s="33" t="s">
        <v>84</v>
      </c>
      <c r="E60" s="33" t="s">
        <v>84</v>
      </c>
      <c r="F60" s="33" t="s">
        <v>84</v>
      </c>
      <c r="G60" s="33" t="s">
        <v>84</v>
      </c>
      <c r="H60" s="33" t="s">
        <v>84</v>
      </c>
    </row>
    <row r="61" spans="1:8" x14ac:dyDescent="0.25">
      <c r="A61" t="s">
        <v>241</v>
      </c>
      <c r="B61" s="98">
        <v>46121</v>
      </c>
      <c r="C61" s="33" t="s">
        <v>84</v>
      </c>
      <c r="D61" s="33" t="s">
        <v>84</v>
      </c>
      <c r="E61" s="33" t="s">
        <v>84</v>
      </c>
      <c r="F61" s="33" t="s">
        <v>84</v>
      </c>
      <c r="G61" s="33" t="s">
        <v>84</v>
      </c>
      <c r="H61" s="33" t="s">
        <v>84</v>
      </c>
    </row>
    <row r="62" spans="1:8" x14ac:dyDescent="0.25">
      <c r="A62" t="s">
        <v>419</v>
      </c>
      <c r="B62" s="98">
        <v>46143</v>
      </c>
      <c r="C62" s="33" t="s">
        <v>84</v>
      </c>
      <c r="D62" s="33" t="s">
        <v>84</v>
      </c>
      <c r="E62" s="33" t="s">
        <v>84</v>
      </c>
      <c r="F62" s="33" t="s">
        <v>84</v>
      </c>
      <c r="G62" s="33" t="s">
        <v>84</v>
      </c>
      <c r="H62" s="33" t="s">
        <v>84</v>
      </c>
    </row>
    <row r="63" spans="1:8" x14ac:dyDescent="0.25">
      <c r="A63" t="s">
        <v>420</v>
      </c>
      <c r="B63" s="98">
        <v>46160</v>
      </c>
      <c r="C63" s="33" t="s">
        <v>84</v>
      </c>
      <c r="D63" s="33" t="s">
        <v>84</v>
      </c>
      <c r="E63" s="33" t="s">
        <v>84</v>
      </c>
      <c r="F63" s="33" t="s">
        <v>84</v>
      </c>
      <c r="G63" s="33" t="s">
        <v>84</v>
      </c>
      <c r="H63" s="33" t="s">
        <v>84</v>
      </c>
    </row>
    <row r="64" spans="1:8" x14ac:dyDescent="0.25">
      <c r="A64" t="s">
        <v>610</v>
      </c>
      <c r="B64" s="98" t="s">
        <v>125</v>
      </c>
      <c r="C64" s="98" t="s">
        <v>125</v>
      </c>
      <c r="D64" s="98">
        <v>46171</v>
      </c>
      <c r="E64" s="98" t="s">
        <v>125</v>
      </c>
      <c r="F64" s="98" t="s">
        <v>125</v>
      </c>
      <c r="G64" s="98" t="s">
        <v>125</v>
      </c>
      <c r="H64" s="98" t="s">
        <v>125</v>
      </c>
    </row>
    <row r="65" spans="1:8" x14ac:dyDescent="0.25">
      <c r="A65" t="s">
        <v>548</v>
      </c>
      <c r="B65" s="98">
        <v>46141</v>
      </c>
      <c r="C65" s="33" t="s">
        <v>84</v>
      </c>
      <c r="D65" s="33" t="s">
        <v>84</v>
      </c>
      <c r="E65" s="33" t="s">
        <v>84</v>
      </c>
      <c r="F65" s="33" t="s">
        <v>84</v>
      </c>
      <c r="G65" s="33" t="s">
        <v>84</v>
      </c>
      <c r="H65" s="33" t="s">
        <v>84</v>
      </c>
    </row>
    <row r="66" spans="1:8" x14ac:dyDescent="0.25">
      <c r="A66" t="s">
        <v>611</v>
      </c>
      <c r="D66" s="135">
        <v>46171</v>
      </c>
    </row>
    <row r="67" spans="1:8" x14ac:dyDescent="0.25">
      <c r="A67" t="s">
        <v>612</v>
      </c>
      <c r="D67" s="135">
        <v>46185</v>
      </c>
    </row>
    <row r="68" spans="1:8" x14ac:dyDescent="0.25">
      <c r="A68" s="138" t="s">
        <v>671</v>
      </c>
      <c r="D68" s="135"/>
    </row>
    <row r="69" spans="1:8" x14ac:dyDescent="0.25">
      <c r="A69" t="s">
        <v>544</v>
      </c>
      <c r="B69" s="98">
        <v>45800</v>
      </c>
      <c r="C69" s="135">
        <v>46113</v>
      </c>
      <c r="D69" s="135">
        <v>45983</v>
      </c>
      <c r="E69" s="137">
        <v>46231</v>
      </c>
      <c r="F69" s="137">
        <v>46259</v>
      </c>
      <c r="G69" s="33" t="s">
        <v>84</v>
      </c>
      <c r="H69" s="33" t="s">
        <v>84</v>
      </c>
    </row>
    <row r="70" spans="1:8" x14ac:dyDescent="0.25">
      <c r="A70" t="s">
        <v>618</v>
      </c>
      <c r="C70" s="135">
        <v>46231</v>
      </c>
    </row>
    <row r="71" spans="1:8" x14ac:dyDescent="0.25">
      <c r="A71" t="s">
        <v>669</v>
      </c>
      <c r="C71" s="135">
        <f>D47</f>
        <v>46253</v>
      </c>
    </row>
    <row r="72" spans="1:8" x14ac:dyDescent="0.25">
      <c r="A72" t="s">
        <v>672</v>
      </c>
      <c r="B72" s="98">
        <v>46204</v>
      </c>
    </row>
  </sheetData>
  <phoneticPr fontId="11" type="noConversion"/>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68645-C12B-4545-922E-F7D9A5A80B7A}">
  <sheetPr>
    <tabColor rgb="FFC00000"/>
  </sheetPr>
  <dimension ref="A1:T20"/>
  <sheetViews>
    <sheetView zoomScaleNormal="100" workbookViewId="0">
      <pane xSplit="3" ySplit="1" topLeftCell="D2" activePane="bottomRight" state="frozen"/>
      <selection pane="topRight" activeCell="D1" sqref="D1"/>
      <selection pane="bottomLeft" activeCell="A2" sqref="A2"/>
      <selection pane="bottomRight" activeCell="E31" sqref="E31"/>
    </sheetView>
  </sheetViews>
  <sheetFormatPr defaultRowHeight="15" x14ac:dyDescent="0.25"/>
  <cols>
    <col min="2" max="2" width="11.85546875" bestFit="1" customWidth="1"/>
    <col min="3" max="3" width="14.28515625" bestFit="1" customWidth="1"/>
    <col min="4" max="4" width="14.42578125" bestFit="1" customWidth="1"/>
    <col min="5" max="5" width="20.85546875" bestFit="1" customWidth="1"/>
    <col min="6" max="6" width="8.28515625" bestFit="1" customWidth="1"/>
    <col min="7" max="7" width="9.42578125" bestFit="1" customWidth="1"/>
    <col min="9" max="9" width="18.42578125" bestFit="1" customWidth="1"/>
    <col min="10" max="10" width="18.140625" bestFit="1" customWidth="1"/>
    <col min="11" max="11" width="24.7109375" customWidth="1"/>
    <col min="12" max="12" width="9.140625" style="1"/>
    <col min="14" max="14" width="14.140625" bestFit="1" customWidth="1"/>
    <col min="15" max="16" width="14.140625" customWidth="1"/>
    <col min="17" max="17" width="14.140625" bestFit="1" customWidth="1"/>
    <col min="19" max="19" width="47.28515625" customWidth="1"/>
    <col min="20" max="20" width="10.28515625" bestFit="1" customWidth="1"/>
  </cols>
  <sheetData>
    <row r="1" spans="1:20" ht="30.75" customHeight="1" x14ac:dyDescent="0.25">
      <c r="A1" s="120" t="s">
        <v>425</v>
      </c>
      <c r="B1" s="120" t="s">
        <v>426</v>
      </c>
      <c r="C1" s="120" t="s">
        <v>427</v>
      </c>
      <c r="D1" s="120" t="s">
        <v>428</v>
      </c>
      <c r="E1" s="120" t="s">
        <v>429</v>
      </c>
      <c r="F1" s="120" t="s">
        <v>430</v>
      </c>
      <c r="G1" s="120" t="s">
        <v>431</v>
      </c>
      <c r="H1" s="120" t="s">
        <v>432</v>
      </c>
      <c r="I1" s="120" t="s">
        <v>433</v>
      </c>
      <c r="J1" s="120" t="s">
        <v>310</v>
      </c>
      <c r="K1" s="120" t="s">
        <v>434</v>
      </c>
      <c r="N1" s="121" t="s">
        <v>435</v>
      </c>
      <c r="O1" s="121" t="s">
        <v>471</v>
      </c>
      <c r="P1" s="121" t="s">
        <v>472</v>
      </c>
      <c r="Q1" s="121" t="s">
        <v>436</v>
      </c>
      <c r="R1" s="121" t="s">
        <v>437</v>
      </c>
      <c r="S1" s="121" t="s">
        <v>8</v>
      </c>
    </row>
    <row r="2" spans="1:20" x14ac:dyDescent="0.25">
      <c r="A2" s="1">
        <v>17</v>
      </c>
      <c r="B2" s="122" t="s">
        <v>438</v>
      </c>
      <c r="C2" s="1" t="s">
        <v>439</v>
      </c>
      <c r="D2" s="1" t="s">
        <v>440</v>
      </c>
      <c r="E2" s="1" t="s">
        <v>441</v>
      </c>
      <c r="F2" s="1" t="s">
        <v>442</v>
      </c>
      <c r="G2" s="1" t="s">
        <v>443</v>
      </c>
      <c r="H2" s="1" t="s">
        <v>84</v>
      </c>
      <c r="I2" s="1" t="s">
        <v>473</v>
      </c>
      <c r="J2" s="1" t="s">
        <v>444</v>
      </c>
      <c r="K2" t="str">
        <f>CONCATENATE(C2,"|",G2,"|",H2)</f>
        <v>USDC-000297|DOU|TBD</v>
      </c>
      <c r="M2">
        <v>297</v>
      </c>
      <c r="N2" s="123">
        <v>643300</v>
      </c>
      <c r="O2" s="123">
        <v>432505</v>
      </c>
      <c r="P2" s="123">
        <v>144708</v>
      </c>
      <c r="Q2" s="123">
        <f>O2+P2</f>
        <v>577213</v>
      </c>
      <c r="R2" s="124">
        <f>Q2/N2</f>
        <v>0.89726877040261155</v>
      </c>
      <c r="S2" t="s">
        <v>478</v>
      </c>
    </row>
    <row r="3" spans="1:20" x14ac:dyDescent="0.25">
      <c r="A3" s="1">
        <v>17</v>
      </c>
      <c r="B3" s="122" t="s">
        <v>445</v>
      </c>
      <c r="C3" s="1" t="s">
        <v>446</v>
      </c>
      <c r="D3" s="1" t="s">
        <v>440</v>
      </c>
      <c r="E3" s="1" t="s">
        <v>441</v>
      </c>
      <c r="F3" s="1" t="s">
        <v>442</v>
      </c>
      <c r="G3" s="1" t="s">
        <v>447</v>
      </c>
      <c r="H3" s="1">
        <v>4844</v>
      </c>
      <c r="I3" s="130" t="s">
        <v>474</v>
      </c>
      <c r="J3" s="1" t="s">
        <v>444</v>
      </c>
      <c r="K3" t="str">
        <f>CONCATENATE(C3,"|",G3,"|",H3)</f>
        <v>USDC-000298|ATL5|4844</v>
      </c>
      <c r="M3">
        <v>298</v>
      </c>
      <c r="N3" s="123">
        <v>195514000</v>
      </c>
      <c r="O3" s="123">
        <v>100633569</v>
      </c>
      <c r="P3" s="123">
        <v>22153648</v>
      </c>
      <c r="Q3" s="123">
        <f t="shared" ref="Q3:Q11" si="0">O3+P3</f>
        <v>122787217</v>
      </c>
      <c r="R3" s="124">
        <f>Q3/N3</f>
        <v>0.6280226326503473</v>
      </c>
      <c r="S3" t="s">
        <v>477</v>
      </c>
    </row>
    <row r="4" spans="1:20" x14ac:dyDescent="0.25">
      <c r="A4" s="1">
        <v>17</v>
      </c>
      <c r="B4" s="122" t="s">
        <v>448</v>
      </c>
      <c r="C4" s="1" t="s">
        <v>449</v>
      </c>
      <c r="D4" s="1" t="s">
        <v>440</v>
      </c>
      <c r="E4" s="1" t="s">
        <v>441</v>
      </c>
      <c r="F4" s="1" t="s">
        <v>442</v>
      </c>
      <c r="G4" s="1" t="s">
        <v>450</v>
      </c>
      <c r="H4" s="1" t="s">
        <v>84</v>
      </c>
      <c r="I4" s="1" t="s">
        <v>475</v>
      </c>
      <c r="J4" s="1" t="s">
        <v>451</v>
      </c>
      <c r="K4" t="str">
        <f>CONCATENATE(C4,"|",G4,"|",H4)</f>
        <v>USDC-000302|LAS|TBD</v>
      </c>
      <c r="M4">
        <v>302</v>
      </c>
      <c r="N4" s="123">
        <v>2206000</v>
      </c>
      <c r="O4" s="123">
        <v>1586608</v>
      </c>
      <c r="P4" s="123">
        <v>174892</v>
      </c>
      <c r="Q4" s="123">
        <f t="shared" si="0"/>
        <v>1761500</v>
      </c>
      <c r="R4" s="124">
        <f>Q4/N4</f>
        <v>0.79850407978241156</v>
      </c>
      <c r="S4" t="s">
        <v>478</v>
      </c>
      <c r="T4" s="125" t="s">
        <v>218</v>
      </c>
    </row>
    <row r="5" spans="1:20" x14ac:dyDescent="0.25">
      <c r="B5" s="126" t="s">
        <v>452</v>
      </c>
      <c r="C5" s="1" t="s">
        <v>453</v>
      </c>
      <c r="D5" s="1" t="s">
        <v>440</v>
      </c>
      <c r="E5" s="1" t="s">
        <v>441</v>
      </c>
      <c r="F5" s="1" t="s">
        <v>442</v>
      </c>
      <c r="G5" s="1" t="s">
        <v>317</v>
      </c>
      <c r="H5" s="1">
        <v>7028</v>
      </c>
      <c r="I5" s="1" t="s">
        <v>374</v>
      </c>
      <c r="J5" s="1" t="s">
        <v>451</v>
      </c>
      <c r="K5" t="str">
        <f>CONCATENATE(C5,"|",G5,"|",H5)</f>
        <v>USDC-000308|LGA1|7028</v>
      </c>
      <c r="M5">
        <v>308</v>
      </c>
      <c r="N5" s="123">
        <v>5000000</v>
      </c>
      <c r="O5" s="123">
        <v>1364948</v>
      </c>
      <c r="P5" s="123">
        <v>2190302</v>
      </c>
      <c r="Q5" s="123">
        <f t="shared" si="0"/>
        <v>3555250</v>
      </c>
      <c r="R5" s="124">
        <f>Q5/N5</f>
        <v>0.71104999999999996</v>
      </c>
    </row>
    <row r="6" spans="1:20" x14ac:dyDescent="0.25">
      <c r="B6" s="126" t="s">
        <v>454</v>
      </c>
      <c r="C6" s="1" t="s">
        <v>455</v>
      </c>
      <c r="D6" s="1" t="s">
        <v>440</v>
      </c>
      <c r="E6" s="1" t="s">
        <v>441</v>
      </c>
      <c r="F6" s="1" t="s">
        <v>442</v>
      </c>
      <c r="G6" s="1" t="s">
        <v>456</v>
      </c>
      <c r="H6" s="1" t="s">
        <v>84</v>
      </c>
      <c r="I6" s="1" t="s">
        <v>373</v>
      </c>
      <c r="J6" s="1" t="s">
        <v>451</v>
      </c>
      <c r="K6" t="str">
        <f>CONCATENATE(C6,"|",G6,"|",H6)</f>
        <v>USDC-000309|PHX3|TBD</v>
      </c>
      <c r="M6">
        <v>309</v>
      </c>
      <c r="N6" s="123">
        <v>5000000</v>
      </c>
      <c r="O6" s="123">
        <v>0</v>
      </c>
      <c r="P6" s="123">
        <v>2018000</v>
      </c>
      <c r="Q6" s="123">
        <f t="shared" si="0"/>
        <v>2018000</v>
      </c>
      <c r="R6" s="124">
        <f>Q6/N6</f>
        <v>0.40360000000000001</v>
      </c>
    </row>
    <row r="7" spans="1:20" s="127" customFormat="1" x14ac:dyDescent="0.25">
      <c r="B7" s="128" t="s">
        <v>457</v>
      </c>
      <c r="C7" s="129" t="s">
        <v>458</v>
      </c>
      <c r="D7" s="129" t="s">
        <v>440</v>
      </c>
      <c r="E7" s="129" t="s">
        <v>441</v>
      </c>
      <c r="F7" s="129" t="s">
        <v>442</v>
      </c>
      <c r="G7" s="129" t="s">
        <v>459</v>
      </c>
      <c r="H7" s="129" t="s">
        <v>84</v>
      </c>
      <c r="I7" s="129" t="s">
        <v>376</v>
      </c>
      <c r="J7" s="1" t="s">
        <v>451</v>
      </c>
      <c r="K7" t="str">
        <f t="shared" ref="K7:K10" si="1">CONCATENATE(C7,"|",G7,"|",H7)</f>
        <v>USDC-000311|DEN|TBD</v>
      </c>
      <c r="L7" s="129"/>
      <c r="Q7" s="123">
        <f t="shared" si="0"/>
        <v>0</v>
      </c>
      <c r="R7" s="124" t="s">
        <v>218</v>
      </c>
      <c r="S7" s="127" t="s">
        <v>479</v>
      </c>
    </row>
    <row r="8" spans="1:20" x14ac:dyDescent="0.25">
      <c r="B8" s="126" t="s">
        <v>460</v>
      </c>
      <c r="C8" s="1" t="s">
        <v>461</v>
      </c>
      <c r="D8" s="1" t="s">
        <v>440</v>
      </c>
      <c r="E8" s="1" t="s">
        <v>441</v>
      </c>
      <c r="F8" s="1" t="s">
        <v>442</v>
      </c>
      <c r="G8" s="1" t="s">
        <v>462</v>
      </c>
      <c r="H8" s="1" t="s">
        <v>84</v>
      </c>
      <c r="I8" s="1" t="s">
        <v>395</v>
      </c>
      <c r="J8" s="1" t="s">
        <v>451</v>
      </c>
      <c r="K8" t="str">
        <f t="shared" si="1"/>
        <v>USDC-000312|MCO|TBD</v>
      </c>
      <c r="N8" s="123">
        <v>500000</v>
      </c>
      <c r="O8" s="123">
        <v>0</v>
      </c>
      <c r="P8" s="123">
        <v>0</v>
      </c>
      <c r="Q8" s="123">
        <f t="shared" si="0"/>
        <v>0</v>
      </c>
      <c r="R8" s="124">
        <f>Q8/N8</f>
        <v>0</v>
      </c>
      <c r="S8" t="s">
        <v>480</v>
      </c>
    </row>
    <row r="9" spans="1:20" x14ac:dyDescent="0.25">
      <c r="B9" s="126" t="s">
        <v>463</v>
      </c>
      <c r="C9" s="1" t="s">
        <v>464</v>
      </c>
      <c r="D9" s="1" t="s">
        <v>440</v>
      </c>
      <c r="E9" s="1" t="s">
        <v>441</v>
      </c>
      <c r="F9" s="1" t="s">
        <v>442</v>
      </c>
      <c r="G9" s="1" t="s">
        <v>465</v>
      </c>
      <c r="H9" s="1" t="s">
        <v>84</v>
      </c>
      <c r="I9" s="1" t="s">
        <v>377</v>
      </c>
      <c r="J9" s="1" t="s">
        <v>451</v>
      </c>
      <c r="K9" t="str">
        <f t="shared" si="1"/>
        <v>USDC-000313|SEA|TBD</v>
      </c>
      <c r="N9" s="123">
        <v>500000</v>
      </c>
      <c r="O9" s="123">
        <v>0</v>
      </c>
      <c r="P9" s="123">
        <v>0</v>
      </c>
      <c r="Q9" s="123">
        <f t="shared" si="0"/>
        <v>0</v>
      </c>
      <c r="R9" s="124">
        <f>Q9/N9</f>
        <v>0</v>
      </c>
      <c r="S9" t="s">
        <v>480</v>
      </c>
    </row>
    <row r="10" spans="1:20" x14ac:dyDescent="0.25">
      <c r="B10" s="126" t="s">
        <v>466</v>
      </c>
      <c r="C10" s="1" t="s">
        <v>467</v>
      </c>
      <c r="D10" s="1" t="s">
        <v>440</v>
      </c>
      <c r="E10" s="1" t="s">
        <v>441</v>
      </c>
      <c r="F10" s="1" t="s">
        <v>442</v>
      </c>
      <c r="G10" s="1" t="s">
        <v>468</v>
      </c>
      <c r="H10" s="1" t="s">
        <v>84</v>
      </c>
      <c r="I10" s="1" t="s">
        <v>476</v>
      </c>
      <c r="J10" s="1" t="s">
        <v>451</v>
      </c>
      <c r="K10" t="str">
        <f t="shared" si="1"/>
        <v>USDC-000314|MSP|TBD</v>
      </c>
      <c r="N10" s="123">
        <v>500000</v>
      </c>
      <c r="O10" s="123">
        <v>0</v>
      </c>
      <c r="P10" s="123">
        <v>58000</v>
      </c>
      <c r="Q10" s="123">
        <f t="shared" si="0"/>
        <v>58000</v>
      </c>
      <c r="R10" s="124">
        <f>Q10/N10</f>
        <v>0.11600000000000001</v>
      </c>
      <c r="S10" t="s">
        <v>480</v>
      </c>
    </row>
    <row r="11" spans="1:20" x14ac:dyDescent="0.25">
      <c r="B11" s="126" t="s">
        <v>469</v>
      </c>
      <c r="C11" s="1" t="s">
        <v>470</v>
      </c>
      <c r="D11" s="1" t="s">
        <v>440</v>
      </c>
      <c r="E11" s="1" t="s">
        <v>441</v>
      </c>
      <c r="F11" s="1" t="s">
        <v>442</v>
      </c>
      <c r="G11" s="1" t="s">
        <v>459</v>
      </c>
      <c r="H11" s="1" t="s">
        <v>84</v>
      </c>
      <c r="I11" s="1" t="s">
        <v>376</v>
      </c>
      <c r="J11" s="1" t="s">
        <v>451</v>
      </c>
      <c r="K11" t="str">
        <f>CONCATENATE(C11,"|",G11,"|",H11)</f>
        <v>USDC-000317|DEN|TBD</v>
      </c>
      <c r="N11" s="123">
        <v>500000</v>
      </c>
      <c r="O11" s="123">
        <v>0</v>
      </c>
      <c r="P11" s="123">
        <v>0</v>
      </c>
      <c r="Q11" s="123">
        <f t="shared" si="0"/>
        <v>0</v>
      </c>
      <c r="R11" s="124">
        <f>Q11/N11</f>
        <v>0</v>
      </c>
      <c r="S11" t="s">
        <v>480</v>
      </c>
    </row>
    <row r="12" spans="1:20" x14ac:dyDescent="0.25">
      <c r="B12" s="126"/>
    </row>
    <row r="13" spans="1:20" x14ac:dyDescent="0.25">
      <c r="B13" s="126"/>
    </row>
    <row r="14" spans="1:20" x14ac:dyDescent="0.25">
      <c r="B14" s="126"/>
    </row>
    <row r="15" spans="1:20" x14ac:dyDescent="0.25">
      <c r="B15" s="126"/>
    </row>
    <row r="16" spans="1:20" x14ac:dyDescent="0.25">
      <c r="B16" s="126"/>
      <c r="N16" t="s">
        <v>218</v>
      </c>
    </row>
    <row r="17" spans="2:16" x14ac:dyDescent="0.25">
      <c r="B17" s="126"/>
      <c r="N17" s="125" t="s">
        <v>218</v>
      </c>
      <c r="O17" s="125"/>
      <c r="P17" s="125"/>
    </row>
    <row r="18" spans="2:16" x14ac:dyDescent="0.25">
      <c r="B18" s="126"/>
      <c r="N18" s="125"/>
      <c r="O18" s="125"/>
      <c r="P18" s="125"/>
    </row>
    <row r="19" spans="2:16" x14ac:dyDescent="0.25">
      <c r="B19" s="126"/>
    </row>
    <row r="20" spans="2:16" x14ac:dyDescent="0.25">
      <c r="B20" s="126"/>
    </row>
  </sheetData>
  <autoFilter ref="A1:R10" xr:uid="{0D2002C6-91C8-46ED-94F6-EBFB2DCAD22D}">
    <sortState xmlns:xlrd2="http://schemas.microsoft.com/office/spreadsheetml/2017/richdata2" ref="A2:R10">
      <sortCondition ref="C1:C10"/>
    </sortState>
  </autoFilter>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9AD86-968C-4DAB-85E7-99766D64C620}">
  <dimension ref="A1:V8"/>
  <sheetViews>
    <sheetView zoomScale="130" zoomScaleNormal="130" workbookViewId="0">
      <selection activeCell="E20" sqref="E20"/>
    </sheetView>
  </sheetViews>
  <sheetFormatPr defaultRowHeight="15" x14ac:dyDescent="0.25"/>
  <cols>
    <col min="1" max="1" width="15.42578125" bestFit="1" customWidth="1"/>
    <col min="2" max="2" width="12.5703125" style="1" bestFit="1" customWidth="1"/>
    <col min="3" max="6" width="24" style="1" bestFit="1" customWidth="1"/>
    <col min="7" max="7" width="15" style="1" bestFit="1" customWidth="1"/>
    <col min="8" max="8" width="15.7109375" style="1" bestFit="1" customWidth="1"/>
    <col min="9" max="9" width="13.42578125" style="1" bestFit="1" customWidth="1"/>
    <col min="10" max="13" width="23" style="1" bestFit="1" customWidth="1"/>
    <col min="14" max="16" width="18.28515625" bestFit="1" customWidth="1"/>
    <col min="17" max="17" width="19.140625" customWidth="1"/>
    <col min="18" max="18" width="19.5703125" bestFit="1" customWidth="1"/>
    <col min="19" max="19" width="18.28515625" bestFit="1" customWidth="1"/>
    <col min="20" max="20" width="18.5703125" customWidth="1"/>
    <col min="21" max="21" width="31.7109375" bestFit="1" customWidth="1"/>
    <col min="22" max="22" width="18.28515625" customWidth="1"/>
  </cols>
  <sheetData>
    <row r="1" spans="1:22" s="97" customFormat="1" x14ac:dyDescent="0.25">
      <c r="A1" s="97" t="s">
        <v>389</v>
      </c>
      <c r="B1" s="104" t="s">
        <v>396</v>
      </c>
      <c r="C1" s="104" t="s">
        <v>380</v>
      </c>
      <c r="D1" s="104" t="s">
        <v>380</v>
      </c>
      <c r="E1" s="104" t="s">
        <v>380</v>
      </c>
      <c r="F1" s="104" t="s">
        <v>380</v>
      </c>
      <c r="G1" s="104" t="s">
        <v>396</v>
      </c>
      <c r="H1" s="104" t="s">
        <v>396</v>
      </c>
      <c r="I1" s="104" t="s">
        <v>396</v>
      </c>
      <c r="J1" s="104" t="s">
        <v>396</v>
      </c>
      <c r="K1" s="104" t="s">
        <v>396</v>
      </c>
      <c r="L1" s="104" t="s">
        <v>396</v>
      </c>
      <c r="M1" s="104" t="s">
        <v>396</v>
      </c>
      <c r="N1" s="97" t="s">
        <v>661</v>
      </c>
      <c r="O1" s="97" t="s">
        <v>661</v>
      </c>
      <c r="P1" s="97" t="s">
        <v>661</v>
      </c>
      <c r="Q1" s="115" t="s">
        <v>661</v>
      </c>
      <c r="R1" s="115" t="s">
        <v>661</v>
      </c>
      <c r="S1" s="115" t="s">
        <v>661</v>
      </c>
      <c r="T1" s="115" t="s">
        <v>663</v>
      </c>
      <c r="U1" s="115" t="s">
        <v>664</v>
      </c>
    </row>
    <row r="2" spans="1:22" x14ac:dyDescent="0.25">
      <c r="A2" s="97" t="s">
        <v>387</v>
      </c>
      <c r="B2" s="115" t="s">
        <v>385</v>
      </c>
      <c r="C2" s="115" t="s">
        <v>381</v>
      </c>
      <c r="D2" s="115" t="s">
        <v>660</v>
      </c>
      <c r="E2" s="115" t="s">
        <v>386</v>
      </c>
      <c r="F2" s="115" t="s">
        <v>384</v>
      </c>
      <c r="G2" s="104" t="s">
        <v>300</v>
      </c>
      <c r="H2" s="105" t="s">
        <v>373</v>
      </c>
      <c r="I2" s="105" t="s">
        <v>374</v>
      </c>
      <c r="J2" s="105" t="s">
        <v>395</v>
      </c>
      <c r="K2" s="105" t="s">
        <v>375</v>
      </c>
      <c r="L2" s="105" t="s">
        <v>376</v>
      </c>
      <c r="M2" s="105" t="s">
        <v>377</v>
      </c>
      <c r="N2" s="105" t="s">
        <v>397</v>
      </c>
      <c r="O2" s="105" t="s">
        <v>398</v>
      </c>
      <c r="P2" s="105" t="s">
        <v>401</v>
      </c>
      <c r="Q2" s="105" t="s">
        <v>402</v>
      </c>
      <c r="R2" s="105" t="s">
        <v>403</v>
      </c>
      <c r="S2" s="105" t="s">
        <v>404</v>
      </c>
      <c r="T2" s="105" t="s">
        <v>405</v>
      </c>
      <c r="U2" s="105" t="s">
        <v>401</v>
      </c>
      <c r="V2" s="105"/>
    </row>
    <row r="3" spans="1:22" s="97" customFormat="1" x14ac:dyDescent="0.25">
      <c r="A3" s="97" t="s">
        <v>2</v>
      </c>
      <c r="B3" s="115" t="s">
        <v>390</v>
      </c>
      <c r="C3" s="115" t="s">
        <v>390</v>
      </c>
      <c r="D3" s="115" t="s">
        <v>390</v>
      </c>
      <c r="E3" s="115" t="s">
        <v>390</v>
      </c>
      <c r="F3" s="115" t="s">
        <v>390</v>
      </c>
      <c r="G3" s="104" t="s">
        <v>391</v>
      </c>
      <c r="H3" s="104" t="s">
        <v>392</v>
      </c>
      <c r="I3" s="104" t="s">
        <v>393</v>
      </c>
      <c r="J3" s="104" t="s">
        <v>394</v>
      </c>
      <c r="K3" s="104" t="s">
        <v>394</v>
      </c>
      <c r="L3" s="104" t="s">
        <v>394</v>
      </c>
      <c r="M3" s="104" t="s">
        <v>394</v>
      </c>
      <c r="N3" s="115" t="s">
        <v>390</v>
      </c>
      <c r="O3" s="115" t="s">
        <v>390</v>
      </c>
      <c r="P3" s="115" t="s">
        <v>390</v>
      </c>
      <c r="Q3" s="115" t="s">
        <v>662</v>
      </c>
      <c r="R3" s="115" t="s">
        <v>662</v>
      </c>
      <c r="S3" s="115" t="s">
        <v>662</v>
      </c>
      <c r="T3" s="115" t="s">
        <v>390</v>
      </c>
      <c r="U3" s="115" t="s">
        <v>390</v>
      </c>
    </row>
    <row r="4" spans="1:22" x14ac:dyDescent="0.25">
      <c r="A4" t="s">
        <v>288</v>
      </c>
      <c r="B4" s="116">
        <v>46258</v>
      </c>
      <c r="C4" s="116">
        <v>46293</v>
      </c>
      <c r="D4" s="116">
        <v>46273</v>
      </c>
      <c r="E4" s="116">
        <v>46573</v>
      </c>
      <c r="F4" s="116">
        <v>45457</v>
      </c>
      <c r="G4" s="98" t="s">
        <v>322</v>
      </c>
      <c r="H4" s="98" t="s">
        <v>327</v>
      </c>
      <c r="I4" s="98" t="s">
        <v>329</v>
      </c>
      <c r="J4" s="98" t="s">
        <v>331</v>
      </c>
      <c r="K4" s="33" t="s">
        <v>331</v>
      </c>
      <c r="L4" s="98" t="s">
        <v>332</v>
      </c>
      <c r="M4" s="98" t="s">
        <v>332</v>
      </c>
      <c r="N4" s="96" t="s">
        <v>399</v>
      </c>
      <c r="O4" s="98" t="s">
        <v>400</v>
      </c>
      <c r="P4" s="117" t="s">
        <v>399</v>
      </c>
    </row>
    <row r="5" spans="1:22" x14ac:dyDescent="0.25">
      <c r="A5" t="s">
        <v>289</v>
      </c>
      <c r="C5" s="116">
        <v>46596</v>
      </c>
      <c r="D5" s="116">
        <v>46520</v>
      </c>
      <c r="E5" s="116"/>
      <c r="F5" s="116"/>
      <c r="G5" s="98" t="s">
        <v>323</v>
      </c>
      <c r="H5" s="98" t="s">
        <v>328</v>
      </c>
      <c r="I5" s="98" t="s">
        <v>330</v>
      </c>
      <c r="J5" s="98" t="s">
        <v>332</v>
      </c>
      <c r="K5" s="33" t="s">
        <v>332</v>
      </c>
      <c r="L5" s="98" t="s">
        <v>333</v>
      </c>
      <c r="M5" s="98" t="s">
        <v>333</v>
      </c>
      <c r="N5" s="96"/>
    </row>
    <row r="7" spans="1:22" x14ac:dyDescent="0.25">
      <c r="A7" s="97" t="s">
        <v>288</v>
      </c>
      <c r="B7" s="115" t="s">
        <v>379</v>
      </c>
      <c r="C7" s="115" t="s">
        <v>379</v>
      </c>
      <c r="D7" s="115" t="s">
        <v>379</v>
      </c>
      <c r="E7" s="115" t="s">
        <v>383</v>
      </c>
      <c r="F7" s="115" t="s">
        <v>383</v>
      </c>
      <c r="G7" s="115" t="s">
        <v>365</v>
      </c>
      <c r="H7" s="115" t="s">
        <v>367</v>
      </c>
      <c r="I7" s="115" t="s">
        <v>369</v>
      </c>
      <c r="J7" s="115" t="s">
        <v>371</v>
      </c>
      <c r="K7" s="115" t="s">
        <v>371</v>
      </c>
      <c r="L7" s="115" t="s">
        <v>372</v>
      </c>
      <c r="M7" s="115" t="s">
        <v>372</v>
      </c>
      <c r="N7" s="115" t="s">
        <v>406</v>
      </c>
      <c r="O7" s="115" t="s">
        <v>407</v>
      </c>
      <c r="P7" s="115" t="s">
        <v>406</v>
      </c>
      <c r="Q7" s="115" t="s">
        <v>409</v>
      </c>
      <c r="R7" s="115" t="s">
        <v>409</v>
      </c>
      <c r="S7" s="115" t="s">
        <v>409</v>
      </c>
      <c r="T7" s="115" t="s">
        <v>408</v>
      </c>
      <c r="U7" s="115" t="s">
        <v>408</v>
      </c>
      <c r="V7" s="115"/>
    </row>
    <row r="8" spans="1:22" x14ac:dyDescent="0.25">
      <c r="A8" s="97" t="s">
        <v>289</v>
      </c>
      <c r="B8" s="115" t="s">
        <v>383</v>
      </c>
      <c r="C8" s="115" t="s">
        <v>382</v>
      </c>
      <c r="D8" s="115" t="s">
        <v>383</v>
      </c>
      <c r="E8" s="115"/>
      <c r="F8" s="115"/>
      <c r="G8" s="115" t="s">
        <v>366</v>
      </c>
      <c r="H8" s="115" t="s">
        <v>368</v>
      </c>
      <c r="I8" s="115" t="s">
        <v>370</v>
      </c>
      <c r="J8" s="115" t="s">
        <v>372</v>
      </c>
      <c r="K8" s="115" t="s">
        <v>372</v>
      </c>
      <c r="L8" s="115" t="s">
        <v>388</v>
      </c>
      <c r="M8" s="115" t="s">
        <v>388</v>
      </c>
      <c r="N8" s="115" t="s">
        <v>406</v>
      </c>
      <c r="O8" s="115"/>
      <c r="P8" s="115"/>
      <c r="Q8" s="115"/>
      <c r="R8" s="115"/>
      <c r="S8" s="115"/>
      <c r="T8" s="115" t="s">
        <v>406</v>
      </c>
      <c r="U8" s="115" t="s">
        <v>407</v>
      </c>
    </row>
  </sheetData>
  <hyperlinks>
    <hyperlink ref="H7" r:id="rId1" display="2@" xr:uid="{1655BD2C-54E3-4E72-B377-AE4E90A702C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D213-5ACF-4B9F-8C5A-E0FA207EFDB6}">
  <dimension ref="A1:N366"/>
  <sheetViews>
    <sheetView workbookViewId="0">
      <selection activeCell="J30" sqref="J30"/>
    </sheetView>
  </sheetViews>
  <sheetFormatPr defaultRowHeight="15" x14ac:dyDescent="0.25"/>
  <cols>
    <col min="1" max="1" width="10.42578125" style="107" bestFit="1" customWidth="1"/>
    <col min="2" max="2" width="13.85546875" style="108" bestFit="1" customWidth="1"/>
    <col min="3" max="8" width="9.140625" style="107"/>
    <col min="9" max="10" width="9.140625" style="108"/>
    <col min="11" max="16384" width="9.140625" style="107"/>
  </cols>
  <sheetData>
    <row r="1" spans="1:14" s="110" customFormat="1" ht="15.75" thickBot="1" x14ac:dyDescent="0.3">
      <c r="A1" s="110" t="s">
        <v>1</v>
      </c>
      <c r="B1" s="111" t="s">
        <v>268</v>
      </c>
      <c r="I1" s="111" t="s">
        <v>363</v>
      </c>
      <c r="J1" s="111" t="s">
        <v>364</v>
      </c>
      <c r="M1" s="111" t="s">
        <v>363</v>
      </c>
      <c r="N1" s="111" t="s">
        <v>364</v>
      </c>
    </row>
    <row r="2" spans="1:14" x14ac:dyDescent="0.25">
      <c r="A2" s="109">
        <v>46054</v>
      </c>
      <c r="B2" s="108">
        <v>1</v>
      </c>
      <c r="I2" s="108" t="s">
        <v>351</v>
      </c>
      <c r="J2" s="108">
        <v>1</v>
      </c>
      <c r="M2" s="112" t="s">
        <v>351</v>
      </c>
      <c r="N2" s="144">
        <v>1</v>
      </c>
    </row>
    <row r="3" spans="1:14" x14ac:dyDescent="0.25">
      <c r="A3" s="109">
        <v>46055</v>
      </c>
      <c r="B3" s="108">
        <v>1</v>
      </c>
      <c r="I3" s="108" t="s">
        <v>352</v>
      </c>
      <c r="J3" s="108">
        <v>1</v>
      </c>
      <c r="M3" s="113" t="s">
        <v>352</v>
      </c>
      <c r="N3" s="145"/>
    </row>
    <row r="4" spans="1:14" ht="15.75" thickBot="1" x14ac:dyDescent="0.3">
      <c r="A4" s="109">
        <v>46056</v>
      </c>
      <c r="B4" s="108">
        <v>1</v>
      </c>
      <c r="I4" s="108" t="s">
        <v>353</v>
      </c>
      <c r="J4" s="108">
        <v>1</v>
      </c>
      <c r="M4" s="114" t="s">
        <v>353</v>
      </c>
      <c r="N4" s="146"/>
    </row>
    <row r="5" spans="1:14" x14ac:dyDescent="0.25">
      <c r="A5" s="109">
        <v>46057</v>
      </c>
      <c r="B5" s="108">
        <v>1</v>
      </c>
      <c r="I5" s="108" t="s">
        <v>354</v>
      </c>
      <c r="J5" s="108">
        <v>2</v>
      </c>
      <c r="M5" s="112" t="s">
        <v>354</v>
      </c>
      <c r="N5" s="144">
        <v>2</v>
      </c>
    </row>
    <row r="6" spans="1:14" x14ac:dyDescent="0.25">
      <c r="A6" s="109">
        <v>46058</v>
      </c>
      <c r="B6" s="108">
        <v>1</v>
      </c>
      <c r="I6" s="108" t="s">
        <v>355</v>
      </c>
      <c r="J6" s="108">
        <v>2</v>
      </c>
      <c r="M6" s="113" t="s">
        <v>355</v>
      </c>
      <c r="N6" s="145"/>
    </row>
    <row r="7" spans="1:14" ht="15.75" thickBot="1" x14ac:dyDescent="0.3">
      <c r="A7" s="109">
        <v>46059</v>
      </c>
      <c r="B7" s="108">
        <v>1</v>
      </c>
      <c r="I7" s="108" t="s">
        <v>356</v>
      </c>
      <c r="J7" s="108">
        <v>2</v>
      </c>
      <c r="M7" s="114" t="s">
        <v>356</v>
      </c>
      <c r="N7" s="146"/>
    </row>
    <row r="8" spans="1:14" x14ac:dyDescent="0.25">
      <c r="A8" s="109">
        <v>46060</v>
      </c>
      <c r="B8" s="108">
        <v>2</v>
      </c>
      <c r="I8" s="108" t="s">
        <v>357</v>
      </c>
      <c r="J8" s="108">
        <v>3</v>
      </c>
      <c r="M8" s="112" t="s">
        <v>357</v>
      </c>
      <c r="N8" s="144">
        <v>3</v>
      </c>
    </row>
    <row r="9" spans="1:14" x14ac:dyDescent="0.25">
      <c r="A9" s="109">
        <v>46061</v>
      </c>
      <c r="B9" s="108">
        <v>2</v>
      </c>
      <c r="I9" s="108" t="s">
        <v>358</v>
      </c>
      <c r="J9" s="108">
        <v>3</v>
      </c>
      <c r="M9" s="113" t="s">
        <v>358</v>
      </c>
      <c r="N9" s="145"/>
    </row>
    <row r="10" spans="1:14" ht="15.75" thickBot="1" x14ac:dyDescent="0.3">
      <c r="A10" s="109">
        <v>46062</v>
      </c>
      <c r="B10" s="108">
        <v>2</v>
      </c>
      <c r="I10" s="108" t="s">
        <v>359</v>
      </c>
      <c r="J10" s="108">
        <v>3</v>
      </c>
      <c r="M10" s="114" t="s">
        <v>359</v>
      </c>
      <c r="N10" s="146"/>
    </row>
    <row r="11" spans="1:14" x14ac:dyDescent="0.25">
      <c r="A11" s="109">
        <v>46063</v>
      </c>
      <c r="B11" s="108">
        <v>2</v>
      </c>
      <c r="I11" s="108" t="s">
        <v>360</v>
      </c>
      <c r="J11" s="108">
        <v>4</v>
      </c>
      <c r="M11" s="112" t="s">
        <v>360</v>
      </c>
      <c r="N11" s="144">
        <v>4</v>
      </c>
    </row>
    <row r="12" spans="1:14" x14ac:dyDescent="0.25">
      <c r="A12" s="109">
        <v>46064</v>
      </c>
      <c r="B12" s="108">
        <v>2</v>
      </c>
      <c r="I12" s="108" t="s">
        <v>361</v>
      </c>
      <c r="J12" s="108">
        <v>4</v>
      </c>
      <c r="M12" s="113" t="s">
        <v>361</v>
      </c>
      <c r="N12" s="145"/>
    </row>
    <row r="13" spans="1:14" ht="15.75" thickBot="1" x14ac:dyDescent="0.3">
      <c r="A13" s="109">
        <v>46065</v>
      </c>
      <c r="B13" s="108">
        <v>2</v>
      </c>
      <c r="I13" s="108" t="s">
        <v>362</v>
      </c>
      <c r="J13" s="108">
        <v>4</v>
      </c>
      <c r="M13" s="114" t="s">
        <v>362</v>
      </c>
      <c r="N13" s="146"/>
    </row>
    <row r="14" spans="1:14" x14ac:dyDescent="0.25">
      <c r="A14" s="109">
        <v>46066</v>
      </c>
      <c r="B14" s="108">
        <v>2</v>
      </c>
      <c r="I14" s="107"/>
      <c r="J14" s="107"/>
    </row>
    <row r="15" spans="1:14" x14ac:dyDescent="0.25">
      <c r="A15" s="109">
        <v>46067</v>
      </c>
      <c r="B15" s="108">
        <f>B8+1</f>
        <v>3</v>
      </c>
    </row>
    <row r="16" spans="1:14" x14ac:dyDescent="0.25">
      <c r="A16" s="109">
        <v>46068</v>
      </c>
      <c r="B16" s="108">
        <f t="shared" ref="B16:B79" si="0">B9+1</f>
        <v>3</v>
      </c>
    </row>
    <row r="17" spans="1:2" x14ac:dyDescent="0.25">
      <c r="A17" s="109">
        <v>46069</v>
      </c>
      <c r="B17" s="108">
        <f t="shared" si="0"/>
        <v>3</v>
      </c>
    </row>
    <row r="18" spans="1:2" x14ac:dyDescent="0.25">
      <c r="A18" s="109">
        <v>46070</v>
      </c>
      <c r="B18" s="108">
        <f t="shared" si="0"/>
        <v>3</v>
      </c>
    </row>
    <row r="19" spans="1:2" x14ac:dyDescent="0.25">
      <c r="A19" s="109">
        <v>46071</v>
      </c>
      <c r="B19" s="108">
        <f t="shared" si="0"/>
        <v>3</v>
      </c>
    </row>
    <row r="20" spans="1:2" x14ac:dyDescent="0.25">
      <c r="A20" s="109">
        <v>46072</v>
      </c>
      <c r="B20" s="108">
        <f t="shared" si="0"/>
        <v>3</v>
      </c>
    </row>
    <row r="21" spans="1:2" x14ac:dyDescent="0.25">
      <c r="A21" s="109">
        <v>46073</v>
      </c>
      <c r="B21" s="108">
        <f>B14+1</f>
        <v>3</v>
      </c>
    </row>
    <row r="22" spans="1:2" x14ac:dyDescent="0.25">
      <c r="A22" s="109">
        <v>46074</v>
      </c>
      <c r="B22" s="108">
        <f t="shared" si="0"/>
        <v>4</v>
      </c>
    </row>
    <row r="23" spans="1:2" x14ac:dyDescent="0.25">
      <c r="A23" s="109">
        <v>46075</v>
      </c>
      <c r="B23" s="108">
        <f t="shared" si="0"/>
        <v>4</v>
      </c>
    </row>
    <row r="24" spans="1:2" x14ac:dyDescent="0.25">
      <c r="A24" s="109">
        <v>46076</v>
      </c>
      <c r="B24" s="108">
        <f t="shared" si="0"/>
        <v>4</v>
      </c>
    </row>
    <row r="25" spans="1:2" x14ac:dyDescent="0.25">
      <c r="A25" s="109">
        <v>46077</v>
      </c>
      <c r="B25" s="108">
        <f t="shared" si="0"/>
        <v>4</v>
      </c>
    </row>
    <row r="26" spans="1:2" x14ac:dyDescent="0.25">
      <c r="A26" s="109">
        <v>46078</v>
      </c>
      <c r="B26" s="108">
        <f t="shared" si="0"/>
        <v>4</v>
      </c>
    </row>
    <row r="27" spans="1:2" x14ac:dyDescent="0.25">
      <c r="A27" s="109">
        <v>46079</v>
      </c>
      <c r="B27" s="108">
        <f t="shared" si="0"/>
        <v>4</v>
      </c>
    </row>
    <row r="28" spans="1:2" x14ac:dyDescent="0.25">
      <c r="A28" s="109">
        <v>46080</v>
      </c>
      <c r="B28" s="108">
        <f t="shared" si="0"/>
        <v>4</v>
      </c>
    </row>
    <row r="29" spans="1:2" x14ac:dyDescent="0.25">
      <c r="A29" s="109">
        <v>46081</v>
      </c>
      <c r="B29" s="108">
        <f t="shared" si="0"/>
        <v>5</v>
      </c>
    </row>
    <row r="30" spans="1:2" x14ac:dyDescent="0.25">
      <c r="A30" s="109">
        <v>46082</v>
      </c>
      <c r="B30" s="108">
        <f t="shared" si="0"/>
        <v>5</v>
      </c>
    </row>
    <row r="31" spans="1:2" x14ac:dyDescent="0.25">
      <c r="A31" s="109">
        <v>46083</v>
      </c>
      <c r="B31" s="108">
        <f t="shared" si="0"/>
        <v>5</v>
      </c>
    </row>
    <row r="32" spans="1:2" x14ac:dyDescent="0.25">
      <c r="A32" s="109">
        <v>46084</v>
      </c>
      <c r="B32" s="108">
        <f t="shared" si="0"/>
        <v>5</v>
      </c>
    </row>
    <row r="33" spans="1:2" x14ac:dyDescent="0.25">
      <c r="A33" s="109">
        <v>46085</v>
      </c>
      <c r="B33" s="108">
        <f t="shared" si="0"/>
        <v>5</v>
      </c>
    </row>
    <row r="34" spans="1:2" x14ac:dyDescent="0.25">
      <c r="A34" s="109">
        <v>46086</v>
      </c>
      <c r="B34" s="108">
        <f t="shared" si="0"/>
        <v>5</v>
      </c>
    </row>
    <row r="35" spans="1:2" x14ac:dyDescent="0.25">
      <c r="A35" s="109">
        <v>46087</v>
      </c>
      <c r="B35" s="108">
        <f t="shared" si="0"/>
        <v>5</v>
      </c>
    </row>
    <row r="36" spans="1:2" x14ac:dyDescent="0.25">
      <c r="A36" s="109">
        <v>46088</v>
      </c>
      <c r="B36" s="108">
        <f t="shared" si="0"/>
        <v>6</v>
      </c>
    </row>
    <row r="37" spans="1:2" x14ac:dyDescent="0.25">
      <c r="A37" s="109">
        <v>46089</v>
      </c>
      <c r="B37" s="108">
        <f t="shared" si="0"/>
        <v>6</v>
      </c>
    </row>
    <row r="38" spans="1:2" x14ac:dyDescent="0.25">
      <c r="A38" s="109">
        <v>46090</v>
      </c>
      <c r="B38" s="108">
        <f t="shared" si="0"/>
        <v>6</v>
      </c>
    </row>
    <row r="39" spans="1:2" x14ac:dyDescent="0.25">
      <c r="A39" s="109">
        <v>46091</v>
      </c>
      <c r="B39" s="108">
        <f t="shared" si="0"/>
        <v>6</v>
      </c>
    </row>
    <row r="40" spans="1:2" x14ac:dyDescent="0.25">
      <c r="A40" s="109">
        <v>46092</v>
      </c>
      <c r="B40" s="108">
        <f t="shared" si="0"/>
        <v>6</v>
      </c>
    </row>
    <row r="41" spans="1:2" x14ac:dyDescent="0.25">
      <c r="A41" s="109">
        <v>46093</v>
      </c>
      <c r="B41" s="108">
        <f t="shared" si="0"/>
        <v>6</v>
      </c>
    </row>
    <row r="42" spans="1:2" x14ac:dyDescent="0.25">
      <c r="A42" s="109">
        <v>46094</v>
      </c>
      <c r="B42" s="108">
        <f t="shared" si="0"/>
        <v>6</v>
      </c>
    </row>
    <row r="43" spans="1:2" x14ac:dyDescent="0.25">
      <c r="A43" s="109">
        <v>46095</v>
      </c>
      <c r="B43" s="108">
        <f t="shared" si="0"/>
        <v>7</v>
      </c>
    </row>
    <row r="44" spans="1:2" x14ac:dyDescent="0.25">
      <c r="A44" s="109">
        <v>46096</v>
      </c>
      <c r="B44" s="108">
        <f t="shared" si="0"/>
        <v>7</v>
      </c>
    </row>
    <row r="45" spans="1:2" x14ac:dyDescent="0.25">
      <c r="A45" s="109">
        <v>46097</v>
      </c>
      <c r="B45" s="108">
        <f t="shared" si="0"/>
        <v>7</v>
      </c>
    </row>
    <row r="46" spans="1:2" x14ac:dyDescent="0.25">
      <c r="A46" s="109">
        <v>46098</v>
      </c>
      <c r="B46" s="108">
        <f t="shared" si="0"/>
        <v>7</v>
      </c>
    </row>
    <row r="47" spans="1:2" x14ac:dyDescent="0.25">
      <c r="A47" s="109">
        <v>46099</v>
      </c>
      <c r="B47" s="108">
        <f t="shared" si="0"/>
        <v>7</v>
      </c>
    </row>
    <row r="48" spans="1:2" x14ac:dyDescent="0.25">
      <c r="A48" s="109">
        <v>46100</v>
      </c>
      <c r="B48" s="108">
        <f t="shared" si="0"/>
        <v>7</v>
      </c>
    </row>
    <row r="49" spans="1:2" x14ac:dyDescent="0.25">
      <c r="A49" s="109">
        <v>46101</v>
      </c>
      <c r="B49" s="108">
        <f t="shared" si="0"/>
        <v>7</v>
      </c>
    </row>
    <row r="50" spans="1:2" x14ac:dyDescent="0.25">
      <c r="A50" s="109">
        <v>46102</v>
      </c>
      <c r="B50" s="108">
        <f t="shared" si="0"/>
        <v>8</v>
      </c>
    </row>
    <row r="51" spans="1:2" x14ac:dyDescent="0.25">
      <c r="A51" s="109">
        <v>46103</v>
      </c>
      <c r="B51" s="108">
        <f t="shared" si="0"/>
        <v>8</v>
      </c>
    </row>
    <row r="52" spans="1:2" x14ac:dyDescent="0.25">
      <c r="A52" s="109">
        <v>46104</v>
      </c>
      <c r="B52" s="108">
        <f t="shared" si="0"/>
        <v>8</v>
      </c>
    </row>
    <row r="53" spans="1:2" x14ac:dyDescent="0.25">
      <c r="A53" s="109">
        <v>46105</v>
      </c>
      <c r="B53" s="108">
        <f t="shared" si="0"/>
        <v>8</v>
      </c>
    </row>
    <row r="54" spans="1:2" x14ac:dyDescent="0.25">
      <c r="A54" s="109">
        <v>46106</v>
      </c>
      <c r="B54" s="108">
        <f t="shared" si="0"/>
        <v>8</v>
      </c>
    </row>
    <row r="55" spans="1:2" x14ac:dyDescent="0.25">
      <c r="A55" s="109">
        <v>46107</v>
      </c>
      <c r="B55" s="108">
        <f t="shared" si="0"/>
        <v>8</v>
      </c>
    </row>
    <row r="56" spans="1:2" x14ac:dyDescent="0.25">
      <c r="A56" s="109">
        <v>46108</v>
      </c>
      <c r="B56" s="108">
        <f t="shared" si="0"/>
        <v>8</v>
      </c>
    </row>
    <row r="57" spans="1:2" x14ac:dyDescent="0.25">
      <c r="A57" s="109">
        <v>46109</v>
      </c>
      <c r="B57" s="108">
        <f t="shared" si="0"/>
        <v>9</v>
      </c>
    </row>
    <row r="58" spans="1:2" x14ac:dyDescent="0.25">
      <c r="A58" s="109">
        <v>46110</v>
      </c>
      <c r="B58" s="108">
        <f t="shared" si="0"/>
        <v>9</v>
      </c>
    </row>
    <row r="59" spans="1:2" x14ac:dyDescent="0.25">
      <c r="A59" s="109">
        <v>46111</v>
      </c>
      <c r="B59" s="108">
        <f t="shared" si="0"/>
        <v>9</v>
      </c>
    </row>
    <row r="60" spans="1:2" x14ac:dyDescent="0.25">
      <c r="A60" s="109">
        <v>46112</v>
      </c>
      <c r="B60" s="108">
        <f t="shared" si="0"/>
        <v>9</v>
      </c>
    </row>
    <row r="61" spans="1:2" x14ac:dyDescent="0.25">
      <c r="A61" s="109">
        <v>46113</v>
      </c>
      <c r="B61" s="108">
        <f t="shared" si="0"/>
        <v>9</v>
      </c>
    </row>
    <row r="62" spans="1:2" x14ac:dyDescent="0.25">
      <c r="A62" s="109">
        <v>46114</v>
      </c>
      <c r="B62" s="108">
        <f t="shared" si="0"/>
        <v>9</v>
      </c>
    </row>
    <row r="63" spans="1:2" x14ac:dyDescent="0.25">
      <c r="A63" s="109">
        <v>46115</v>
      </c>
      <c r="B63" s="108">
        <f t="shared" si="0"/>
        <v>9</v>
      </c>
    </row>
    <row r="64" spans="1:2" x14ac:dyDescent="0.25">
      <c r="A64" s="109">
        <v>46116</v>
      </c>
      <c r="B64" s="108">
        <f t="shared" si="0"/>
        <v>10</v>
      </c>
    </row>
    <row r="65" spans="1:2" x14ac:dyDescent="0.25">
      <c r="A65" s="109">
        <v>46117</v>
      </c>
      <c r="B65" s="108">
        <f t="shared" si="0"/>
        <v>10</v>
      </c>
    </row>
    <row r="66" spans="1:2" x14ac:dyDescent="0.25">
      <c r="A66" s="109">
        <v>46118</v>
      </c>
      <c r="B66" s="108">
        <f t="shared" si="0"/>
        <v>10</v>
      </c>
    </row>
    <row r="67" spans="1:2" x14ac:dyDescent="0.25">
      <c r="A67" s="109">
        <v>46119</v>
      </c>
      <c r="B67" s="108">
        <f t="shared" si="0"/>
        <v>10</v>
      </c>
    </row>
    <row r="68" spans="1:2" x14ac:dyDescent="0.25">
      <c r="A68" s="109">
        <v>46120</v>
      </c>
      <c r="B68" s="108">
        <f t="shared" si="0"/>
        <v>10</v>
      </c>
    </row>
    <row r="69" spans="1:2" x14ac:dyDescent="0.25">
      <c r="A69" s="109">
        <v>46121</v>
      </c>
      <c r="B69" s="108">
        <f t="shared" si="0"/>
        <v>10</v>
      </c>
    </row>
    <row r="70" spans="1:2" x14ac:dyDescent="0.25">
      <c r="A70" s="109">
        <v>46122</v>
      </c>
      <c r="B70" s="108">
        <f t="shared" si="0"/>
        <v>10</v>
      </c>
    </row>
    <row r="71" spans="1:2" x14ac:dyDescent="0.25">
      <c r="A71" s="109">
        <v>46123</v>
      </c>
      <c r="B71" s="108">
        <f t="shared" si="0"/>
        <v>11</v>
      </c>
    </row>
    <row r="72" spans="1:2" x14ac:dyDescent="0.25">
      <c r="A72" s="109">
        <v>46124</v>
      </c>
      <c r="B72" s="108">
        <f t="shared" si="0"/>
        <v>11</v>
      </c>
    </row>
    <row r="73" spans="1:2" x14ac:dyDescent="0.25">
      <c r="A73" s="109">
        <v>46125</v>
      </c>
      <c r="B73" s="108">
        <f t="shared" si="0"/>
        <v>11</v>
      </c>
    </row>
    <row r="74" spans="1:2" x14ac:dyDescent="0.25">
      <c r="A74" s="109">
        <v>46126</v>
      </c>
      <c r="B74" s="108">
        <f t="shared" si="0"/>
        <v>11</v>
      </c>
    </row>
    <row r="75" spans="1:2" x14ac:dyDescent="0.25">
      <c r="A75" s="109">
        <v>46127</v>
      </c>
      <c r="B75" s="108">
        <f t="shared" si="0"/>
        <v>11</v>
      </c>
    </row>
    <row r="76" spans="1:2" x14ac:dyDescent="0.25">
      <c r="A76" s="109">
        <v>46128</v>
      </c>
      <c r="B76" s="108">
        <f t="shared" si="0"/>
        <v>11</v>
      </c>
    </row>
    <row r="77" spans="1:2" x14ac:dyDescent="0.25">
      <c r="A77" s="109">
        <v>46129</v>
      </c>
      <c r="B77" s="108">
        <f t="shared" si="0"/>
        <v>11</v>
      </c>
    </row>
    <row r="78" spans="1:2" x14ac:dyDescent="0.25">
      <c r="A78" s="109">
        <v>46130</v>
      </c>
      <c r="B78" s="108">
        <f t="shared" si="0"/>
        <v>12</v>
      </c>
    </row>
    <row r="79" spans="1:2" x14ac:dyDescent="0.25">
      <c r="A79" s="109">
        <v>46131</v>
      </c>
      <c r="B79" s="108">
        <f t="shared" si="0"/>
        <v>12</v>
      </c>
    </row>
    <row r="80" spans="1:2" x14ac:dyDescent="0.25">
      <c r="A80" s="109">
        <v>46132</v>
      </c>
      <c r="B80" s="108">
        <f t="shared" ref="B80:B143" si="1">B73+1</f>
        <v>12</v>
      </c>
    </row>
    <row r="81" spans="1:2" x14ac:dyDescent="0.25">
      <c r="A81" s="109">
        <v>46133</v>
      </c>
      <c r="B81" s="108">
        <f t="shared" si="1"/>
        <v>12</v>
      </c>
    </row>
    <row r="82" spans="1:2" x14ac:dyDescent="0.25">
      <c r="A82" s="109">
        <v>46134</v>
      </c>
      <c r="B82" s="108">
        <f t="shared" si="1"/>
        <v>12</v>
      </c>
    </row>
    <row r="83" spans="1:2" x14ac:dyDescent="0.25">
      <c r="A83" s="109">
        <v>46135</v>
      </c>
      <c r="B83" s="108">
        <f t="shared" si="1"/>
        <v>12</v>
      </c>
    </row>
    <row r="84" spans="1:2" x14ac:dyDescent="0.25">
      <c r="A84" s="109">
        <v>46136</v>
      </c>
      <c r="B84" s="108">
        <f t="shared" si="1"/>
        <v>12</v>
      </c>
    </row>
    <row r="85" spans="1:2" x14ac:dyDescent="0.25">
      <c r="A85" s="109">
        <v>46137</v>
      </c>
      <c r="B85" s="108">
        <f t="shared" si="1"/>
        <v>13</v>
      </c>
    </row>
    <row r="86" spans="1:2" x14ac:dyDescent="0.25">
      <c r="A86" s="109">
        <v>46138</v>
      </c>
      <c r="B86" s="108">
        <f t="shared" si="1"/>
        <v>13</v>
      </c>
    </row>
    <row r="87" spans="1:2" x14ac:dyDescent="0.25">
      <c r="A87" s="109">
        <v>46139</v>
      </c>
      <c r="B87" s="108">
        <f t="shared" si="1"/>
        <v>13</v>
      </c>
    </row>
    <row r="88" spans="1:2" x14ac:dyDescent="0.25">
      <c r="A88" s="109">
        <v>46140</v>
      </c>
      <c r="B88" s="108">
        <f t="shared" si="1"/>
        <v>13</v>
      </c>
    </row>
    <row r="89" spans="1:2" x14ac:dyDescent="0.25">
      <c r="A89" s="109">
        <v>46141</v>
      </c>
      <c r="B89" s="108">
        <f t="shared" si="1"/>
        <v>13</v>
      </c>
    </row>
    <row r="90" spans="1:2" x14ac:dyDescent="0.25">
      <c r="A90" s="109">
        <v>46142</v>
      </c>
      <c r="B90" s="108">
        <f t="shared" si="1"/>
        <v>13</v>
      </c>
    </row>
    <row r="91" spans="1:2" x14ac:dyDescent="0.25">
      <c r="A91" s="109">
        <v>46143</v>
      </c>
      <c r="B91" s="108">
        <f t="shared" si="1"/>
        <v>13</v>
      </c>
    </row>
    <row r="92" spans="1:2" x14ac:dyDescent="0.25">
      <c r="A92" s="109">
        <v>46144</v>
      </c>
      <c r="B92" s="108">
        <f t="shared" si="1"/>
        <v>14</v>
      </c>
    </row>
    <row r="93" spans="1:2" x14ac:dyDescent="0.25">
      <c r="A93" s="109">
        <v>46145</v>
      </c>
      <c r="B93" s="108">
        <f t="shared" si="1"/>
        <v>14</v>
      </c>
    </row>
    <row r="94" spans="1:2" x14ac:dyDescent="0.25">
      <c r="A94" s="109">
        <v>46146</v>
      </c>
      <c r="B94" s="108">
        <f t="shared" si="1"/>
        <v>14</v>
      </c>
    </row>
    <row r="95" spans="1:2" x14ac:dyDescent="0.25">
      <c r="A95" s="109">
        <v>46147</v>
      </c>
      <c r="B95" s="108">
        <f t="shared" si="1"/>
        <v>14</v>
      </c>
    </row>
    <row r="96" spans="1:2" x14ac:dyDescent="0.25">
      <c r="A96" s="109">
        <v>46148</v>
      </c>
      <c r="B96" s="108">
        <f t="shared" si="1"/>
        <v>14</v>
      </c>
    </row>
    <row r="97" spans="1:2" x14ac:dyDescent="0.25">
      <c r="A97" s="109">
        <v>46149</v>
      </c>
      <c r="B97" s="108">
        <f t="shared" si="1"/>
        <v>14</v>
      </c>
    </row>
    <row r="98" spans="1:2" x14ac:dyDescent="0.25">
      <c r="A98" s="109">
        <v>46150</v>
      </c>
      <c r="B98" s="108">
        <f t="shared" si="1"/>
        <v>14</v>
      </c>
    </row>
    <row r="99" spans="1:2" x14ac:dyDescent="0.25">
      <c r="A99" s="109">
        <v>46151</v>
      </c>
      <c r="B99" s="108">
        <f t="shared" si="1"/>
        <v>15</v>
      </c>
    </row>
    <row r="100" spans="1:2" x14ac:dyDescent="0.25">
      <c r="A100" s="109">
        <v>46152</v>
      </c>
      <c r="B100" s="108">
        <f t="shared" si="1"/>
        <v>15</v>
      </c>
    </row>
    <row r="101" spans="1:2" x14ac:dyDescent="0.25">
      <c r="A101" s="109">
        <v>46153</v>
      </c>
      <c r="B101" s="108">
        <f t="shared" si="1"/>
        <v>15</v>
      </c>
    </row>
    <row r="102" spans="1:2" x14ac:dyDescent="0.25">
      <c r="A102" s="109">
        <v>46154</v>
      </c>
      <c r="B102" s="108">
        <f t="shared" si="1"/>
        <v>15</v>
      </c>
    </row>
    <row r="103" spans="1:2" x14ac:dyDescent="0.25">
      <c r="A103" s="109">
        <v>46155</v>
      </c>
      <c r="B103" s="108">
        <f t="shared" si="1"/>
        <v>15</v>
      </c>
    </row>
    <row r="104" spans="1:2" x14ac:dyDescent="0.25">
      <c r="A104" s="109">
        <v>46156</v>
      </c>
      <c r="B104" s="108">
        <f t="shared" si="1"/>
        <v>15</v>
      </c>
    </row>
    <row r="105" spans="1:2" x14ac:dyDescent="0.25">
      <c r="A105" s="109">
        <v>46157</v>
      </c>
      <c r="B105" s="108">
        <f t="shared" si="1"/>
        <v>15</v>
      </c>
    </row>
    <row r="106" spans="1:2" x14ac:dyDescent="0.25">
      <c r="A106" s="109">
        <v>46158</v>
      </c>
      <c r="B106" s="108">
        <f t="shared" si="1"/>
        <v>16</v>
      </c>
    </row>
    <row r="107" spans="1:2" x14ac:dyDescent="0.25">
      <c r="A107" s="109">
        <v>46159</v>
      </c>
      <c r="B107" s="108">
        <f t="shared" si="1"/>
        <v>16</v>
      </c>
    </row>
    <row r="108" spans="1:2" x14ac:dyDescent="0.25">
      <c r="A108" s="109">
        <v>46160</v>
      </c>
      <c r="B108" s="108">
        <f t="shared" si="1"/>
        <v>16</v>
      </c>
    </row>
    <row r="109" spans="1:2" x14ac:dyDescent="0.25">
      <c r="A109" s="109">
        <v>46161</v>
      </c>
      <c r="B109" s="108">
        <f t="shared" si="1"/>
        <v>16</v>
      </c>
    </row>
    <row r="110" spans="1:2" x14ac:dyDescent="0.25">
      <c r="A110" s="109">
        <v>46162</v>
      </c>
      <c r="B110" s="108">
        <f t="shared" si="1"/>
        <v>16</v>
      </c>
    </row>
    <row r="111" spans="1:2" x14ac:dyDescent="0.25">
      <c r="A111" s="109">
        <v>46163</v>
      </c>
      <c r="B111" s="108">
        <f t="shared" si="1"/>
        <v>16</v>
      </c>
    </row>
    <row r="112" spans="1:2" x14ac:dyDescent="0.25">
      <c r="A112" s="109">
        <v>46164</v>
      </c>
      <c r="B112" s="108">
        <f t="shared" si="1"/>
        <v>16</v>
      </c>
    </row>
    <row r="113" spans="1:2" x14ac:dyDescent="0.25">
      <c r="A113" s="109">
        <v>46165</v>
      </c>
      <c r="B113" s="108">
        <f t="shared" si="1"/>
        <v>17</v>
      </c>
    </row>
    <row r="114" spans="1:2" x14ac:dyDescent="0.25">
      <c r="A114" s="109">
        <v>46166</v>
      </c>
      <c r="B114" s="108">
        <f t="shared" si="1"/>
        <v>17</v>
      </c>
    </row>
    <row r="115" spans="1:2" x14ac:dyDescent="0.25">
      <c r="A115" s="109">
        <v>46167</v>
      </c>
      <c r="B115" s="108">
        <f t="shared" si="1"/>
        <v>17</v>
      </c>
    </row>
    <row r="116" spans="1:2" x14ac:dyDescent="0.25">
      <c r="A116" s="109">
        <v>46168</v>
      </c>
      <c r="B116" s="108">
        <f t="shared" si="1"/>
        <v>17</v>
      </c>
    </row>
    <row r="117" spans="1:2" x14ac:dyDescent="0.25">
      <c r="A117" s="109">
        <v>46169</v>
      </c>
      <c r="B117" s="108">
        <f t="shared" si="1"/>
        <v>17</v>
      </c>
    </row>
    <row r="118" spans="1:2" x14ac:dyDescent="0.25">
      <c r="A118" s="109">
        <v>46170</v>
      </c>
      <c r="B118" s="108">
        <f t="shared" si="1"/>
        <v>17</v>
      </c>
    </row>
    <row r="119" spans="1:2" x14ac:dyDescent="0.25">
      <c r="A119" s="109">
        <v>46171</v>
      </c>
      <c r="B119" s="108">
        <f t="shared" si="1"/>
        <v>17</v>
      </c>
    </row>
    <row r="120" spans="1:2" x14ac:dyDescent="0.25">
      <c r="A120" s="109">
        <v>46172</v>
      </c>
      <c r="B120" s="108">
        <f t="shared" si="1"/>
        <v>18</v>
      </c>
    </row>
    <row r="121" spans="1:2" x14ac:dyDescent="0.25">
      <c r="A121" s="109">
        <v>46173</v>
      </c>
      <c r="B121" s="108">
        <f t="shared" si="1"/>
        <v>18</v>
      </c>
    </row>
    <row r="122" spans="1:2" x14ac:dyDescent="0.25">
      <c r="A122" s="109">
        <v>46174</v>
      </c>
      <c r="B122" s="108">
        <f t="shared" si="1"/>
        <v>18</v>
      </c>
    </row>
    <row r="123" spans="1:2" x14ac:dyDescent="0.25">
      <c r="A123" s="109">
        <v>46175</v>
      </c>
      <c r="B123" s="108">
        <f t="shared" si="1"/>
        <v>18</v>
      </c>
    </row>
    <row r="124" spans="1:2" x14ac:dyDescent="0.25">
      <c r="A124" s="109">
        <v>46176</v>
      </c>
      <c r="B124" s="108">
        <f t="shared" si="1"/>
        <v>18</v>
      </c>
    </row>
    <row r="125" spans="1:2" x14ac:dyDescent="0.25">
      <c r="A125" s="109">
        <v>46177</v>
      </c>
      <c r="B125" s="108">
        <f t="shared" si="1"/>
        <v>18</v>
      </c>
    </row>
    <row r="126" spans="1:2" x14ac:dyDescent="0.25">
      <c r="A126" s="109">
        <v>46178</v>
      </c>
      <c r="B126" s="108">
        <f t="shared" si="1"/>
        <v>18</v>
      </c>
    </row>
    <row r="127" spans="1:2" x14ac:dyDescent="0.25">
      <c r="A127" s="109">
        <v>46179</v>
      </c>
      <c r="B127" s="108">
        <f t="shared" si="1"/>
        <v>19</v>
      </c>
    </row>
    <row r="128" spans="1:2" x14ac:dyDescent="0.25">
      <c r="A128" s="109">
        <v>46180</v>
      </c>
      <c r="B128" s="108">
        <f t="shared" si="1"/>
        <v>19</v>
      </c>
    </row>
    <row r="129" spans="1:2" x14ac:dyDescent="0.25">
      <c r="A129" s="109">
        <v>46181</v>
      </c>
      <c r="B129" s="108">
        <f t="shared" si="1"/>
        <v>19</v>
      </c>
    </row>
    <row r="130" spans="1:2" x14ac:dyDescent="0.25">
      <c r="A130" s="109">
        <v>46182</v>
      </c>
      <c r="B130" s="108">
        <f t="shared" si="1"/>
        <v>19</v>
      </c>
    </row>
    <row r="131" spans="1:2" x14ac:dyDescent="0.25">
      <c r="A131" s="109">
        <v>46183</v>
      </c>
      <c r="B131" s="108">
        <f t="shared" si="1"/>
        <v>19</v>
      </c>
    </row>
    <row r="132" spans="1:2" x14ac:dyDescent="0.25">
      <c r="A132" s="109">
        <v>46184</v>
      </c>
      <c r="B132" s="108">
        <f t="shared" si="1"/>
        <v>19</v>
      </c>
    </row>
    <row r="133" spans="1:2" x14ac:dyDescent="0.25">
      <c r="A133" s="109">
        <v>46185</v>
      </c>
      <c r="B133" s="108">
        <f t="shared" si="1"/>
        <v>19</v>
      </c>
    </row>
    <row r="134" spans="1:2" x14ac:dyDescent="0.25">
      <c r="A134" s="109">
        <v>46186</v>
      </c>
      <c r="B134" s="108">
        <f t="shared" si="1"/>
        <v>20</v>
      </c>
    </row>
    <row r="135" spans="1:2" x14ac:dyDescent="0.25">
      <c r="A135" s="109">
        <v>46187</v>
      </c>
      <c r="B135" s="108">
        <f t="shared" si="1"/>
        <v>20</v>
      </c>
    </row>
    <row r="136" spans="1:2" x14ac:dyDescent="0.25">
      <c r="A136" s="109">
        <v>46188</v>
      </c>
      <c r="B136" s="108">
        <f t="shared" si="1"/>
        <v>20</v>
      </c>
    </row>
    <row r="137" spans="1:2" x14ac:dyDescent="0.25">
      <c r="A137" s="109">
        <v>46189</v>
      </c>
      <c r="B137" s="108">
        <f t="shared" si="1"/>
        <v>20</v>
      </c>
    </row>
    <row r="138" spans="1:2" x14ac:dyDescent="0.25">
      <c r="A138" s="109">
        <v>46190</v>
      </c>
      <c r="B138" s="108">
        <f t="shared" si="1"/>
        <v>20</v>
      </c>
    </row>
    <row r="139" spans="1:2" x14ac:dyDescent="0.25">
      <c r="A139" s="109">
        <v>46191</v>
      </c>
      <c r="B139" s="108">
        <f t="shared" si="1"/>
        <v>20</v>
      </c>
    </row>
    <row r="140" spans="1:2" x14ac:dyDescent="0.25">
      <c r="A140" s="109">
        <v>46192</v>
      </c>
      <c r="B140" s="108">
        <f t="shared" si="1"/>
        <v>20</v>
      </c>
    </row>
    <row r="141" spans="1:2" x14ac:dyDescent="0.25">
      <c r="A141" s="109">
        <v>46193</v>
      </c>
      <c r="B141" s="108">
        <f t="shared" si="1"/>
        <v>21</v>
      </c>
    </row>
    <row r="142" spans="1:2" x14ac:dyDescent="0.25">
      <c r="A142" s="109">
        <v>46194</v>
      </c>
      <c r="B142" s="108">
        <f t="shared" si="1"/>
        <v>21</v>
      </c>
    </row>
    <row r="143" spans="1:2" x14ac:dyDescent="0.25">
      <c r="A143" s="109">
        <v>46195</v>
      </c>
      <c r="B143" s="108">
        <f t="shared" si="1"/>
        <v>21</v>
      </c>
    </row>
    <row r="144" spans="1:2" x14ac:dyDescent="0.25">
      <c r="A144" s="109">
        <v>46196</v>
      </c>
      <c r="B144" s="108">
        <f t="shared" ref="B144:B207" si="2">B137+1</f>
        <v>21</v>
      </c>
    </row>
    <row r="145" spans="1:2" x14ac:dyDescent="0.25">
      <c r="A145" s="109">
        <v>46197</v>
      </c>
      <c r="B145" s="108">
        <f t="shared" si="2"/>
        <v>21</v>
      </c>
    </row>
    <row r="146" spans="1:2" x14ac:dyDescent="0.25">
      <c r="A146" s="109">
        <v>46198</v>
      </c>
      <c r="B146" s="108">
        <f t="shared" si="2"/>
        <v>21</v>
      </c>
    </row>
    <row r="147" spans="1:2" x14ac:dyDescent="0.25">
      <c r="A147" s="109">
        <v>46199</v>
      </c>
      <c r="B147" s="108">
        <f t="shared" si="2"/>
        <v>21</v>
      </c>
    </row>
    <row r="148" spans="1:2" x14ac:dyDescent="0.25">
      <c r="A148" s="109">
        <v>46200</v>
      </c>
      <c r="B148" s="108">
        <f t="shared" si="2"/>
        <v>22</v>
      </c>
    </row>
    <row r="149" spans="1:2" x14ac:dyDescent="0.25">
      <c r="A149" s="109">
        <v>46201</v>
      </c>
      <c r="B149" s="108">
        <f t="shared" si="2"/>
        <v>22</v>
      </c>
    </row>
    <row r="150" spans="1:2" x14ac:dyDescent="0.25">
      <c r="A150" s="109">
        <v>46202</v>
      </c>
      <c r="B150" s="108">
        <f t="shared" si="2"/>
        <v>22</v>
      </c>
    </row>
    <row r="151" spans="1:2" x14ac:dyDescent="0.25">
      <c r="A151" s="109">
        <v>46203</v>
      </c>
      <c r="B151" s="108">
        <f t="shared" si="2"/>
        <v>22</v>
      </c>
    </row>
    <row r="152" spans="1:2" x14ac:dyDescent="0.25">
      <c r="A152" s="109">
        <v>46204</v>
      </c>
      <c r="B152" s="108">
        <f t="shared" si="2"/>
        <v>22</v>
      </c>
    </row>
    <row r="153" spans="1:2" x14ac:dyDescent="0.25">
      <c r="A153" s="109">
        <v>46205</v>
      </c>
      <c r="B153" s="108">
        <f t="shared" si="2"/>
        <v>22</v>
      </c>
    </row>
    <row r="154" spans="1:2" x14ac:dyDescent="0.25">
      <c r="A154" s="109">
        <v>46206</v>
      </c>
      <c r="B154" s="108">
        <f t="shared" si="2"/>
        <v>22</v>
      </c>
    </row>
    <row r="155" spans="1:2" x14ac:dyDescent="0.25">
      <c r="A155" s="109">
        <v>46207</v>
      </c>
      <c r="B155" s="108">
        <f t="shared" si="2"/>
        <v>23</v>
      </c>
    </row>
    <row r="156" spans="1:2" x14ac:dyDescent="0.25">
      <c r="A156" s="109">
        <v>46208</v>
      </c>
      <c r="B156" s="108">
        <f t="shared" si="2"/>
        <v>23</v>
      </c>
    </row>
    <row r="157" spans="1:2" x14ac:dyDescent="0.25">
      <c r="A157" s="109">
        <v>46209</v>
      </c>
      <c r="B157" s="108">
        <f t="shared" si="2"/>
        <v>23</v>
      </c>
    </row>
    <row r="158" spans="1:2" x14ac:dyDescent="0.25">
      <c r="A158" s="109">
        <v>46210</v>
      </c>
      <c r="B158" s="108">
        <f t="shared" si="2"/>
        <v>23</v>
      </c>
    </row>
    <row r="159" spans="1:2" x14ac:dyDescent="0.25">
      <c r="A159" s="109">
        <v>46211</v>
      </c>
      <c r="B159" s="108">
        <f t="shared" si="2"/>
        <v>23</v>
      </c>
    </row>
    <row r="160" spans="1:2" x14ac:dyDescent="0.25">
      <c r="A160" s="109">
        <v>46212</v>
      </c>
      <c r="B160" s="108">
        <f t="shared" si="2"/>
        <v>23</v>
      </c>
    </row>
    <row r="161" spans="1:2" x14ac:dyDescent="0.25">
      <c r="A161" s="109">
        <v>46213</v>
      </c>
      <c r="B161" s="108">
        <f t="shared" si="2"/>
        <v>23</v>
      </c>
    </row>
    <row r="162" spans="1:2" x14ac:dyDescent="0.25">
      <c r="A162" s="109">
        <v>46214</v>
      </c>
      <c r="B162" s="108">
        <f t="shared" si="2"/>
        <v>24</v>
      </c>
    </row>
    <row r="163" spans="1:2" x14ac:dyDescent="0.25">
      <c r="A163" s="109">
        <v>46215</v>
      </c>
      <c r="B163" s="108">
        <f t="shared" si="2"/>
        <v>24</v>
      </c>
    </row>
    <row r="164" spans="1:2" x14ac:dyDescent="0.25">
      <c r="A164" s="109">
        <v>46216</v>
      </c>
      <c r="B164" s="108">
        <f t="shared" si="2"/>
        <v>24</v>
      </c>
    </row>
    <row r="165" spans="1:2" x14ac:dyDescent="0.25">
      <c r="A165" s="109">
        <v>46217</v>
      </c>
      <c r="B165" s="108">
        <f t="shared" si="2"/>
        <v>24</v>
      </c>
    </row>
    <row r="166" spans="1:2" x14ac:dyDescent="0.25">
      <c r="A166" s="109">
        <v>46218</v>
      </c>
      <c r="B166" s="108">
        <f t="shared" si="2"/>
        <v>24</v>
      </c>
    </row>
    <row r="167" spans="1:2" x14ac:dyDescent="0.25">
      <c r="A167" s="109">
        <v>46219</v>
      </c>
      <c r="B167" s="108">
        <f t="shared" si="2"/>
        <v>24</v>
      </c>
    </row>
    <row r="168" spans="1:2" x14ac:dyDescent="0.25">
      <c r="A168" s="109">
        <v>46220</v>
      </c>
      <c r="B168" s="108">
        <f t="shared" si="2"/>
        <v>24</v>
      </c>
    </row>
    <row r="169" spans="1:2" x14ac:dyDescent="0.25">
      <c r="A169" s="109">
        <v>46221</v>
      </c>
      <c r="B169" s="108">
        <f t="shared" si="2"/>
        <v>25</v>
      </c>
    </row>
    <row r="170" spans="1:2" x14ac:dyDescent="0.25">
      <c r="A170" s="109">
        <v>46222</v>
      </c>
      <c r="B170" s="108">
        <f t="shared" si="2"/>
        <v>25</v>
      </c>
    </row>
    <row r="171" spans="1:2" x14ac:dyDescent="0.25">
      <c r="A171" s="109">
        <v>46223</v>
      </c>
      <c r="B171" s="108">
        <f t="shared" si="2"/>
        <v>25</v>
      </c>
    </row>
    <row r="172" spans="1:2" x14ac:dyDescent="0.25">
      <c r="A172" s="109">
        <v>46224</v>
      </c>
      <c r="B172" s="108">
        <f t="shared" si="2"/>
        <v>25</v>
      </c>
    </row>
    <row r="173" spans="1:2" x14ac:dyDescent="0.25">
      <c r="A173" s="109">
        <v>46225</v>
      </c>
      <c r="B173" s="108">
        <f t="shared" si="2"/>
        <v>25</v>
      </c>
    </row>
    <row r="174" spans="1:2" x14ac:dyDescent="0.25">
      <c r="A174" s="109">
        <v>46226</v>
      </c>
      <c r="B174" s="108">
        <f t="shared" si="2"/>
        <v>25</v>
      </c>
    </row>
    <row r="175" spans="1:2" x14ac:dyDescent="0.25">
      <c r="A175" s="109">
        <v>46227</v>
      </c>
      <c r="B175" s="108">
        <f t="shared" si="2"/>
        <v>25</v>
      </c>
    </row>
    <row r="176" spans="1:2" x14ac:dyDescent="0.25">
      <c r="A176" s="109">
        <v>46228</v>
      </c>
      <c r="B176" s="108">
        <f t="shared" si="2"/>
        <v>26</v>
      </c>
    </row>
    <row r="177" spans="1:2" x14ac:dyDescent="0.25">
      <c r="A177" s="109">
        <v>46229</v>
      </c>
      <c r="B177" s="108">
        <f t="shared" si="2"/>
        <v>26</v>
      </c>
    </row>
    <row r="178" spans="1:2" x14ac:dyDescent="0.25">
      <c r="A178" s="109">
        <v>46230</v>
      </c>
      <c r="B178" s="108">
        <f t="shared" si="2"/>
        <v>26</v>
      </c>
    </row>
    <row r="179" spans="1:2" x14ac:dyDescent="0.25">
      <c r="A179" s="109">
        <v>46231</v>
      </c>
      <c r="B179" s="108">
        <f t="shared" si="2"/>
        <v>26</v>
      </c>
    </row>
    <row r="180" spans="1:2" x14ac:dyDescent="0.25">
      <c r="A180" s="109">
        <v>46232</v>
      </c>
      <c r="B180" s="108">
        <f t="shared" si="2"/>
        <v>26</v>
      </c>
    </row>
    <row r="181" spans="1:2" x14ac:dyDescent="0.25">
      <c r="A181" s="109">
        <v>46233</v>
      </c>
      <c r="B181" s="108">
        <f t="shared" si="2"/>
        <v>26</v>
      </c>
    </row>
    <row r="182" spans="1:2" x14ac:dyDescent="0.25">
      <c r="A182" s="109">
        <v>46234</v>
      </c>
      <c r="B182" s="108">
        <f t="shared" si="2"/>
        <v>26</v>
      </c>
    </row>
    <row r="183" spans="1:2" x14ac:dyDescent="0.25">
      <c r="A183" s="109">
        <v>46235</v>
      </c>
      <c r="B183" s="108">
        <f t="shared" si="2"/>
        <v>27</v>
      </c>
    </row>
    <row r="184" spans="1:2" x14ac:dyDescent="0.25">
      <c r="A184" s="109">
        <v>46236</v>
      </c>
      <c r="B184" s="108">
        <f t="shared" si="2"/>
        <v>27</v>
      </c>
    </row>
    <row r="185" spans="1:2" x14ac:dyDescent="0.25">
      <c r="A185" s="109">
        <v>46237</v>
      </c>
      <c r="B185" s="108">
        <f t="shared" si="2"/>
        <v>27</v>
      </c>
    </row>
    <row r="186" spans="1:2" x14ac:dyDescent="0.25">
      <c r="A186" s="109">
        <v>46238</v>
      </c>
      <c r="B186" s="108">
        <f t="shared" si="2"/>
        <v>27</v>
      </c>
    </row>
    <row r="187" spans="1:2" x14ac:dyDescent="0.25">
      <c r="A187" s="109">
        <v>46239</v>
      </c>
      <c r="B187" s="108">
        <f t="shared" si="2"/>
        <v>27</v>
      </c>
    </row>
    <row r="188" spans="1:2" x14ac:dyDescent="0.25">
      <c r="A188" s="109">
        <v>46240</v>
      </c>
      <c r="B188" s="108">
        <f t="shared" si="2"/>
        <v>27</v>
      </c>
    </row>
    <row r="189" spans="1:2" x14ac:dyDescent="0.25">
      <c r="A189" s="109">
        <v>46241</v>
      </c>
      <c r="B189" s="108">
        <f t="shared" si="2"/>
        <v>27</v>
      </c>
    </row>
    <row r="190" spans="1:2" x14ac:dyDescent="0.25">
      <c r="A190" s="109">
        <v>46242</v>
      </c>
      <c r="B190" s="108">
        <f t="shared" si="2"/>
        <v>28</v>
      </c>
    </row>
    <row r="191" spans="1:2" x14ac:dyDescent="0.25">
      <c r="A191" s="109">
        <v>46243</v>
      </c>
      <c r="B191" s="108">
        <f t="shared" si="2"/>
        <v>28</v>
      </c>
    </row>
    <row r="192" spans="1:2" x14ac:dyDescent="0.25">
      <c r="A192" s="109">
        <v>46244</v>
      </c>
      <c r="B192" s="108">
        <f t="shared" si="2"/>
        <v>28</v>
      </c>
    </row>
    <row r="193" spans="1:2" x14ac:dyDescent="0.25">
      <c r="A193" s="109">
        <v>46245</v>
      </c>
      <c r="B193" s="108">
        <f t="shared" si="2"/>
        <v>28</v>
      </c>
    </row>
    <row r="194" spans="1:2" x14ac:dyDescent="0.25">
      <c r="A194" s="109">
        <v>46246</v>
      </c>
      <c r="B194" s="108">
        <f t="shared" si="2"/>
        <v>28</v>
      </c>
    </row>
    <row r="195" spans="1:2" x14ac:dyDescent="0.25">
      <c r="A195" s="109">
        <v>46247</v>
      </c>
      <c r="B195" s="108">
        <f t="shared" si="2"/>
        <v>28</v>
      </c>
    </row>
    <row r="196" spans="1:2" x14ac:dyDescent="0.25">
      <c r="A196" s="109">
        <v>46248</v>
      </c>
      <c r="B196" s="108">
        <f t="shared" si="2"/>
        <v>28</v>
      </c>
    </row>
    <row r="197" spans="1:2" x14ac:dyDescent="0.25">
      <c r="A197" s="109">
        <v>46249</v>
      </c>
      <c r="B197" s="108">
        <f t="shared" si="2"/>
        <v>29</v>
      </c>
    </row>
    <row r="198" spans="1:2" x14ac:dyDescent="0.25">
      <c r="A198" s="109">
        <v>46250</v>
      </c>
      <c r="B198" s="108">
        <f t="shared" si="2"/>
        <v>29</v>
      </c>
    </row>
    <row r="199" spans="1:2" x14ac:dyDescent="0.25">
      <c r="A199" s="109">
        <v>46251</v>
      </c>
      <c r="B199" s="108">
        <f t="shared" si="2"/>
        <v>29</v>
      </c>
    </row>
    <row r="200" spans="1:2" x14ac:dyDescent="0.25">
      <c r="A200" s="109">
        <v>46252</v>
      </c>
      <c r="B200" s="108">
        <f t="shared" si="2"/>
        <v>29</v>
      </c>
    </row>
    <row r="201" spans="1:2" x14ac:dyDescent="0.25">
      <c r="A201" s="109">
        <v>46253</v>
      </c>
      <c r="B201" s="108">
        <f t="shared" si="2"/>
        <v>29</v>
      </c>
    </row>
    <row r="202" spans="1:2" x14ac:dyDescent="0.25">
      <c r="A202" s="109">
        <v>46254</v>
      </c>
      <c r="B202" s="108">
        <f t="shared" si="2"/>
        <v>29</v>
      </c>
    </row>
    <row r="203" spans="1:2" x14ac:dyDescent="0.25">
      <c r="A203" s="109">
        <v>46255</v>
      </c>
      <c r="B203" s="108">
        <f t="shared" si="2"/>
        <v>29</v>
      </c>
    </row>
    <row r="204" spans="1:2" x14ac:dyDescent="0.25">
      <c r="A204" s="109">
        <v>46256</v>
      </c>
      <c r="B204" s="108">
        <f t="shared" si="2"/>
        <v>30</v>
      </c>
    </row>
    <row r="205" spans="1:2" x14ac:dyDescent="0.25">
      <c r="A205" s="109">
        <v>46257</v>
      </c>
      <c r="B205" s="108">
        <f t="shared" si="2"/>
        <v>30</v>
      </c>
    </row>
    <row r="206" spans="1:2" x14ac:dyDescent="0.25">
      <c r="A206" s="109">
        <v>46258</v>
      </c>
      <c r="B206" s="108">
        <f t="shared" si="2"/>
        <v>30</v>
      </c>
    </row>
    <row r="207" spans="1:2" x14ac:dyDescent="0.25">
      <c r="A207" s="109">
        <v>46259</v>
      </c>
      <c r="B207" s="108">
        <f t="shared" si="2"/>
        <v>30</v>
      </c>
    </row>
    <row r="208" spans="1:2" x14ac:dyDescent="0.25">
      <c r="A208" s="109">
        <v>46260</v>
      </c>
      <c r="B208" s="108">
        <f t="shared" ref="B208:B271" si="3">B201+1</f>
        <v>30</v>
      </c>
    </row>
    <row r="209" spans="1:2" x14ac:dyDescent="0.25">
      <c r="A209" s="109">
        <v>46261</v>
      </c>
      <c r="B209" s="108">
        <f t="shared" si="3"/>
        <v>30</v>
      </c>
    </row>
    <row r="210" spans="1:2" x14ac:dyDescent="0.25">
      <c r="A210" s="109">
        <v>46262</v>
      </c>
      <c r="B210" s="108">
        <f t="shared" si="3"/>
        <v>30</v>
      </c>
    </row>
    <row r="211" spans="1:2" x14ac:dyDescent="0.25">
      <c r="A211" s="109">
        <v>46263</v>
      </c>
      <c r="B211" s="108">
        <f t="shared" si="3"/>
        <v>31</v>
      </c>
    </row>
    <row r="212" spans="1:2" x14ac:dyDescent="0.25">
      <c r="A212" s="109">
        <v>46264</v>
      </c>
      <c r="B212" s="108">
        <f t="shared" si="3"/>
        <v>31</v>
      </c>
    </row>
    <row r="213" spans="1:2" x14ac:dyDescent="0.25">
      <c r="A213" s="109">
        <v>46265</v>
      </c>
      <c r="B213" s="108">
        <f t="shared" si="3"/>
        <v>31</v>
      </c>
    </row>
    <row r="214" spans="1:2" x14ac:dyDescent="0.25">
      <c r="A214" s="109">
        <v>46266</v>
      </c>
      <c r="B214" s="108">
        <f t="shared" si="3"/>
        <v>31</v>
      </c>
    </row>
    <row r="215" spans="1:2" x14ac:dyDescent="0.25">
      <c r="A215" s="109">
        <v>46267</v>
      </c>
      <c r="B215" s="108">
        <f t="shared" si="3"/>
        <v>31</v>
      </c>
    </row>
    <row r="216" spans="1:2" x14ac:dyDescent="0.25">
      <c r="A216" s="109">
        <v>46268</v>
      </c>
      <c r="B216" s="108">
        <f t="shared" si="3"/>
        <v>31</v>
      </c>
    </row>
    <row r="217" spans="1:2" x14ac:dyDescent="0.25">
      <c r="A217" s="109">
        <v>46269</v>
      </c>
      <c r="B217" s="108">
        <f t="shared" si="3"/>
        <v>31</v>
      </c>
    </row>
    <row r="218" spans="1:2" x14ac:dyDescent="0.25">
      <c r="A218" s="109">
        <v>46270</v>
      </c>
      <c r="B218" s="108">
        <f t="shared" si="3"/>
        <v>32</v>
      </c>
    </row>
    <row r="219" spans="1:2" x14ac:dyDescent="0.25">
      <c r="A219" s="109">
        <v>46271</v>
      </c>
      <c r="B219" s="108">
        <f t="shared" si="3"/>
        <v>32</v>
      </c>
    </row>
    <row r="220" spans="1:2" x14ac:dyDescent="0.25">
      <c r="A220" s="109">
        <v>46272</v>
      </c>
      <c r="B220" s="108">
        <f t="shared" si="3"/>
        <v>32</v>
      </c>
    </row>
    <row r="221" spans="1:2" x14ac:dyDescent="0.25">
      <c r="A221" s="109">
        <v>46273</v>
      </c>
      <c r="B221" s="108">
        <f t="shared" si="3"/>
        <v>32</v>
      </c>
    </row>
    <row r="222" spans="1:2" x14ac:dyDescent="0.25">
      <c r="A222" s="109">
        <v>46274</v>
      </c>
      <c r="B222" s="108">
        <f t="shared" si="3"/>
        <v>32</v>
      </c>
    </row>
    <row r="223" spans="1:2" x14ac:dyDescent="0.25">
      <c r="A223" s="109">
        <v>46275</v>
      </c>
      <c r="B223" s="108">
        <f t="shared" si="3"/>
        <v>32</v>
      </c>
    </row>
    <row r="224" spans="1:2" x14ac:dyDescent="0.25">
      <c r="A224" s="109">
        <v>46276</v>
      </c>
      <c r="B224" s="108">
        <f t="shared" si="3"/>
        <v>32</v>
      </c>
    </row>
    <row r="225" spans="1:2" x14ac:dyDescent="0.25">
      <c r="A225" s="109">
        <v>46277</v>
      </c>
      <c r="B225" s="108">
        <f t="shared" si="3"/>
        <v>33</v>
      </c>
    </row>
    <row r="226" spans="1:2" x14ac:dyDescent="0.25">
      <c r="A226" s="109">
        <v>46278</v>
      </c>
      <c r="B226" s="108">
        <f t="shared" si="3"/>
        <v>33</v>
      </c>
    </row>
    <row r="227" spans="1:2" x14ac:dyDescent="0.25">
      <c r="A227" s="109">
        <v>46279</v>
      </c>
      <c r="B227" s="108">
        <f t="shared" si="3"/>
        <v>33</v>
      </c>
    </row>
    <row r="228" spans="1:2" x14ac:dyDescent="0.25">
      <c r="A228" s="109">
        <v>46280</v>
      </c>
      <c r="B228" s="108">
        <f t="shared" si="3"/>
        <v>33</v>
      </c>
    </row>
    <row r="229" spans="1:2" x14ac:dyDescent="0.25">
      <c r="A229" s="109">
        <v>46281</v>
      </c>
      <c r="B229" s="108">
        <f t="shared" si="3"/>
        <v>33</v>
      </c>
    </row>
    <row r="230" spans="1:2" x14ac:dyDescent="0.25">
      <c r="A230" s="109">
        <v>46282</v>
      </c>
      <c r="B230" s="108">
        <f t="shared" si="3"/>
        <v>33</v>
      </c>
    </row>
    <row r="231" spans="1:2" x14ac:dyDescent="0.25">
      <c r="A231" s="109">
        <v>46283</v>
      </c>
      <c r="B231" s="108">
        <f t="shared" si="3"/>
        <v>33</v>
      </c>
    </row>
    <row r="232" spans="1:2" x14ac:dyDescent="0.25">
      <c r="A232" s="109">
        <v>46284</v>
      </c>
      <c r="B232" s="108">
        <f t="shared" si="3"/>
        <v>34</v>
      </c>
    </row>
    <row r="233" spans="1:2" x14ac:dyDescent="0.25">
      <c r="A233" s="109">
        <v>46285</v>
      </c>
      <c r="B233" s="108">
        <f t="shared" si="3"/>
        <v>34</v>
      </c>
    </row>
    <row r="234" spans="1:2" x14ac:dyDescent="0.25">
      <c r="A234" s="109">
        <v>46286</v>
      </c>
      <c r="B234" s="108">
        <f t="shared" si="3"/>
        <v>34</v>
      </c>
    </row>
    <row r="235" spans="1:2" x14ac:dyDescent="0.25">
      <c r="A235" s="109">
        <v>46287</v>
      </c>
      <c r="B235" s="108">
        <f t="shared" si="3"/>
        <v>34</v>
      </c>
    </row>
    <row r="236" spans="1:2" x14ac:dyDescent="0.25">
      <c r="A236" s="109">
        <v>46288</v>
      </c>
      <c r="B236" s="108">
        <f t="shared" si="3"/>
        <v>34</v>
      </c>
    </row>
    <row r="237" spans="1:2" x14ac:dyDescent="0.25">
      <c r="A237" s="109">
        <v>46289</v>
      </c>
      <c r="B237" s="108">
        <f t="shared" si="3"/>
        <v>34</v>
      </c>
    </row>
    <row r="238" spans="1:2" x14ac:dyDescent="0.25">
      <c r="A238" s="109">
        <v>46290</v>
      </c>
      <c r="B238" s="108">
        <f t="shared" si="3"/>
        <v>34</v>
      </c>
    </row>
    <row r="239" spans="1:2" x14ac:dyDescent="0.25">
      <c r="A239" s="109">
        <v>46291</v>
      </c>
      <c r="B239" s="108">
        <f t="shared" si="3"/>
        <v>35</v>
      </c>
    </row>
    <row r="240" spans="1:2" x14ac:dyDescent="0.25">
      <c r="A240" s="109">
        <v>46292</v>
      </c>
      <c r="B240" s="108">
        <f t="shared" si="3"/>
        <v>35</v>
      </c>
    </row>
    <row r="241" spans="1:2" x14ac:dyDescent="0.25">
      <c r="A241" s="109">
        <v>46293</v>
      </c>
      <c r="B241" s="108">
        <f t="shared" si="3"/>
        <v>35</v>
      </c>
    </row>
    <row r="242" spans="1:2" x14ac:dyDescent="0.25">
      <c r="A242" s="109">
        <v>46294</v>
      </c>
      <c r="B242" s="108">
        <f t="shared" si="3"/>
        <v>35</v>
      </c>
    </row>
    <row r="243" spans="1:2" x14ac:dyDescent="0.25">
      <c r="A243" s="109">
        <v>46295</v>
      </c>
      <c r="B243" s="108">
        <f t="shared" si="3"/>
        <v>35</v>
      </c>
    </row>
    <row r="244" spans="1:2" x14ac:dyDescent="0.25">
      <c r="A244" s="109">
        <v>46296</v>
      </c>
      <c r="B244" s="108">
        <f t="shared" si="3"/>
        <v>35</v>
      </c>
    </row>
    <row r="245" spans="1:2" x14ac:dyDescent="0.25">
      <c r="A245" s="109">
        <v>46297</v>
      </c>
      <c r="B245" s="108">
        <f t="shared" si="3"/>
        <v>35</v>
      </c>
    </row>
    <row r="246" spans="1:2" x14ac:dyDescent="0.25">
      <c r="A246" s="109">
        <v>46298</v>
      </c>
      <c r="B246" s="108">
        <f t="shared" si="3"/>
        <v>36</v>
      </c>
    </row>
    <row r="247" spans="1:2" x14ac:dyDescent="0.25">
      <c r="A247" s="109">
        <v>46299</v>
      </c>
      <c r="B247" s="108">
        <f t="shared" si="3"/>
        <v>36</v>
      </c>
    </row>
    <row r="248" spans="1:2" x14ac:dyDescent="0.25">
      <c r="A248" s="109">
        <v>46300</v>
      </c>
      <c r="B248" s="108">
        <f t="shared" si="3"/>
        <v>36</v>
      </c>
    </row>
    <row r="249" spans="1:2" x14ac:dyDescent="0.25">
      <c r="A249" s="109">
        <v>46301</v>
      </c>
      <c r="B249" s="108">
        <f t="shared" si="3"/>
        <v>36</v>
      </c>
    </row>
    <row r="250" spans="1:2" x14ac:dyDescent="0.25">
      <c r="A250" s="109">
        <v>46302</v>
      </c>
      <c r="B250" s="108">
        <f t="shared" si="3"/>
        <v>36</v>
      </c>
    </row>
    <row r="251" spans="1:2" x14ac:dyDescent="0.25">
      <c r="A251" s="109">
        <v>46303</v>
      </c>
      <c r="B251" s="108">
        <f t="shared" si="3"/>
        <v>36</v>
      </c>
    </row>
    <row r="252" spans="1:2" x14ac:dyDescent="0.25">
      <c r="A252" s="109">
        <v>46304</v>
      </c>
      <c r="B252" s="108">
        <f t="shared" si="3"/>
        <v>36</v>
      </c>
    </row>
    <row r="253" spans="1:2" x14ac:dyDescent="0.25">
      <c r="A253" s="109">
        <v>46305</v>
      </c>
      <c r="B253" s="108">
        <f t="shared" si="3"/>
        <v>37</v>
      </c>
    </row>
    <row r="254" spans="1:2" x14ac:dyDescent="0.25">
      <c r="A254" s="109">
        <v>46306</v>
      </c>
      <c r="B254" s="108">
        <f t="shared" si="3"/>
        <v>37</v>
      </c>
    </row>
    <row r="255" spans="1:2" x14ac:dyDescent="0.25">
      <c r="A255" s="109">
        <v>46307</v>
      </c>
      <c r="B255" s="108">
        <f t="shared" si="3"/>
        <v>37</v>
      </c>
    </row>
    <row r="256" spans="1:2" x14ac:dyDescent="0.25">
      <c r="A256" s="109">
        <v>46308</v>
      </c>
      <c r="B256" s="108">
        <f t="shared" si="3"/>
        <v>37</v>
      </c>
    </row>
    <row r="257" spans="1:2" x14ac:dyDescent="0.25">
      <c r="A257" s="109">
        <v>46309</v>
      </c>
      <c r="B257" s="108">
        <f t="shared" si="3"/>
        <v>37</v>
      </c>
    </row>
    <row r="258" spans="1:2" x14ac:dyDescent="0.25">
      <c r="A258" s="109">
        <v>46310</v>
      </c>
      <c r="B258" s="108">
        <f t="shared" si="3"/>
        <v>37</v>
      </c>
    </row>
    <row r="259" spans="1:2" x14ac:dyDescent="0.25">
      <c r="A259" s="109">
        <v>46311</v>
      </c>
      <c r="B259" s="108">
        <f t="shared" si="3"/>
        <v>37</v>
      </c>
    </row>
    <row r="260" spans="1:2" x14ac:dyDescent="0.25">
      <c r="A260" s="109">
        <v>46312</v>
      </c>
      <c r="B260" s="108">
        <f t="shared" si="3"/>
        <v>38</v>
      </c>
    </row>
    <row r="261" spans="1:2" x14ac:dyDescent="0.25">
      <c r="A261" s="109">
        <v>46313</v>
      </c>
      <c r="B261" s="108">
        <f t="shared" si="3"/>
        <v>38</v>
      </c>
    </row>
    <row r="262" spans="1:2" x14ac:dyDescent="0.25">
      <c r="A262" s="109">
        <v>46314</v>
      </c>
      <c r="B262" s="108">
        <f t="shared" si="3"/>
        <v>38</v>
      </c>
    </row>
    <row r="263" spans="1:2" x14ac:dyDescent="0.25">
      <c r="A263" s="109">
        <v>46315</v>
      </c>
      <c r="B263" s="108">
        <f t="shared" si="3"/>
        <v>38</v>
      </c>
    </row>
    <row r="264" spans="1:2" x14ac:dyDescent="0.25">
      <c r="A264" s="109">
        <v>46316</v>
      </c>
      <c r="B264" s="108">
        <f t="shared" si="3"/>
        <v>38</v>
      </c>
    </row>
    <row r="265" spans="1:2" x14ac:dyDescent="0.25">
      <c r="A265" s="109">
        <v>46317</v>
      </c>
      <c r="B265" s="108">
        <f t="shared" si="3"/>
        <v>38</v>
      </c>
    </row>
    <row r="266" spans="1:2" x14ac:dyDescent="0.25">
      <c r="A266" s="109">
        <v>46318</v>
      </c>
      <c r="B266" s="108">
        <f t="shared" si="3"/>
        <v>38</v>
      </c>
    </row>
    <row r="267" spans="1:2" x14ac:dyDescent="0.25">
      <c r="A267" s="109">
        <v>46319</v>
      </c>
      <c r="B267" s="108">
        <f t="shared" si="3"/>
        <v>39</v>
      </c>
    </row>
    <row r="268" spans="1:2" x14ac:dyDescent="0.25">
      <c r="A268" s="109">
        <v>46320</v>
      </c>
      <c r="B268" s="108">
        <f t="shared" si="3"/>
        <v>39</v>
      </c>
    </row>
    <row r="269" spans="1:2" x14ac:dyDescent="0.25">
      <c r="A269" s="109">
        <v>46321</v>
      </c>
      <c r="B269" s="108">
        <f t="shared" si="3"/>
        <v>39</v>
      </c>
    </row>
    <row r="270" spans="1:2" x14ac:dyDescent="0.25">
      <c r="A270" s="109">
        <v>46322</v>
      </c>
      <c r="B270" s="108">
        <f t="shared" si="3"/>
        <v>39</v>
      </c>
    </row>
    <row r="271" spans="1:2" x14ac:dyDescent="0.25">
      <c r="A271" s="109">
        <v>46323</v>
      </c>
      <c r="B271" s="108">
        <f t="shared" si="3"/>
        <v>39</v>
      </c>
    </row>
    <row r="272" spans="1:2" x14ac:dyDescent="0.25">
      <c r="A272" s="109">
        <v>46324</v>
      </c>
      <c r="B272" s="108">
        <f t="shared" ref="B272:B335" si="4">B265+1</f>
        <v>39</v>
      </c>
    </row>
    <row r="273" spans="1:2" x14ac:dyDescent="0.25">
      <c r="A273" s="109">
        <v>46325</v>
      </c>
      <c r="B273" s="108">
        <f t="shared" si="4"/>
        <v>39</v>
      </c>
    </row>
    <row r="274" spans="1:2" x14ac:dyDescent="0.25">
      <c r="A274" s="109">
        <v>46326</v>
      </c>
      <c r="B274" s="108">
        <f t="shared" si="4"/>
        <v>40</v>
      </c>
    </row>
    <row r="275" spans="1:2" x14ac:dyDescent="0.25">
      <c r="A275" s="109">
        <v>46327</v>
      </c>
      <c r="B275" s="108">
        <f t="shared" si="4"/>
        <v>40</v>
      </c>
    </row>
    <row r="276" spans="1:2" x14ac:dyDescent="0.25">
      <c r="A276" s="109">
        <v>46328</v>
      </c>
      <c r="B276" s="108">
        <f t="shared" si="4"/>
        <v>40</v>
      </c>
    </row>
    <row r="277" spans="1:2" x14ac:dyDescent="0.25">
      <c r="A277" s="109">
        <v>46329</v>
      </c>
      <c r="B277" s="108">
        <f t="shared" si="4"/>
        <v>40</v>
      </c>
    </row>
    <row r="278" spans="1:2" x14ac:dyDescent="0.25">
      <c r="A278" s="109">
        <v>46330</v>
      </c>
      <c r="B278" s="108">
        <f t="shared" si="4"/>
        <v>40</v>
      </c>
    </row>
    <row r="279" spans="1:2" x14ac:dyDescent="0.25">
      <c r="A279" s="109">
        <v>46331</v>
      </c>
      <c r="B279" s="108">
        <f t="shared" si="4"/>
        <v>40</v>
      </c>
    </row>
    <row r="280" spans="1:2" x14ac:dyDescent="0.25">
      <c r="A280" s="109">
        <v>46332</v>
      </c>
      <c r="B280" s="108">
        <f t="shared" si="4"/>
        <v>40</v>
      </c>
    </row>
    <row r="281" spans="1:2" x14ac:dyDescent="0.25">
      <c r="A281" s="109">
        <v>46333</v>
      </c>
      <c r="B281" s="108">
        <f t="shared" si="4"/>
        <v>41</v>
      </c>
    </row>
    <row r="282" spans="1:2" x14ac:dyDescent="0.25">
      <c r="A282" s="109">
        <v>46334</v>
      </c>
      <c r="B282" s="108">
        <f t="shared" si="4"/>
        <v>41</v>
      </c>
    </row>
    <row r="283" spans="1:2" x14ac:dyDescent="0.25">
      <c r="A283" s="109">
        <v>46335</v>
      </c>
      <c r="B283" s="108">
        <f t="shared" si="4"/>
        <v>41</v>
      </c>
    </row>
    <row r="284" spans="1:2" x14ac:dyDescent="0.25">
      <c r="A284" s="109">
        <v>46336</v>
      </c>
      <c r="B284" s="108">
        <f t="shared" si="4"/>
        <v>41</v>
      </c>
    </row>
    <row r="285" spans="1:2" x14ac:dyDescent="0.25">
      <c r="A285" s="109">
        <v>46337</v>
      </c>
      <c r="B285" s="108">
        <f t="shared" si="4"/>
        <v>41</v>
      </c>
    </row>
    <row r="286" spans="1:2" x14ac:dyDescent="0.25">
      <c r="A286" s="109">
        <v>46338</v>
      </c>
      <c r="B286" s="108">
        <f t="shared" si="4"/>
        <v>41</v>
      </c>
    </row>
    <row r="287" spans="1:2" x14ac:dyDescent="0.25">
      <c r="A287" s="109">
        <v>46339</v>
      </c>
      <c r="B287" s="108">
        <f t="shared" si="4"/>
        <v>41</v>
      </c>
    </row>
    <row r="288" spans="1:2" x14ac:dyDescent="0.25">
      <c r="A288" s="109">
        <v>46340</v>
      </c>
      <c r="B288" s="108">
        <f t="shared" si="4"/>
        <v>42</v>
      </c>
    </row>
    <row r="289" spans="1:2" x14ac:dyDescent="0.25">
      <c r="A289" s="109">
        <v>46341</v>
      </c>
      <c r="B289" s="108">
        <f t="shared" si="4"/>
        <v>42</v>
      </c>
    </row>
    <row r="290" spans="1:2" x14ac:dyDescent="0.25">
      <c r="A290" s="109">
        <v>46342</v>
      </c>
      <c r="B290" s="108">
        <f t="shared" si="4"/>
        <v>42</v>
      </c>
    </row>
    <row r="291" spans="1:2" x14ac:dyDescent="0.25">
      <c r="A291" s="109">
        <v>46343</v>
      </c>
      <c r="B291" s="108">
        <f t="shared" si="4"/>
        <v>42</v>
      </c>
    </row>
    <row r="292" spans="1:2" x14ac:dyDescent="0.25">
      <c r="A292" s="109">
        <v>46344</v>
      </c>
      <c r="B292" s="108">
        <f t="shared" si="4"/>
        <v>42</v>
      </c>
    </row>
    <row r="293" spans="1:2" x14ac:dyDescent="0.25">
      <c r="A293" s="109">
        <v>46345</v>
      </c>
      <c r="B293" s="108">
        <f t="shared" si="4"/>
        <v>42</v>
      </c>
    </row>
    <row r="294" spans="1:2" x14ac:dyDescent="0.25">
      <c r="A294" s="109">
        <v>46346</v>
      </c>
      <c r="B294" s="108">
        <f t="shared" si="4"/>
        <v>42</v>
      </c>
    </row>
    <row r="295" spans="1:2" x14ac:dyDescent="0.25">
      <c r="A295" s="109">
        <v>46347</v>
      </c>
      <c r="B295" s="108">
        <f t="shared" si="4"/>
        <v>43</v>
      </c>
    </row>
    <row r="296" spans="1:2" x14ac:dyDescent="0.25">
      <c r="A296" s="109">
        <v>46348</v>
      </c>
      <c r="B296" s="108">
        <f t="shared" si="4"/>
        <v>43</v>
      </c>
    </row>
    <row r="297" spans="1:2" x14ac:dyDescent="0.25">
      <c r="A297" s="109">
        <v>46349</v>
      </c>
      <c r="B297" s="108">
        <f t="shared" si="4"/>
        <v>43</v>
      </c>
    </row>
    <row r="298" spans="1:2" x14ac:dyDescent="0.25">
      <c r="A298" s="109">
        <v>46350</v>
      </c>
      <c r="B298" s="108">
        <f t="shared" si="4"/>
        <v>43</v>
      </c>
    </row>
    <row r="299" spans="1:2" x14ac:dyDescent="0.25">
      <c r="A299" s="109">
        <v>46351</v>
      </c>
      <c r="B299" s="108">
        <f t="shared" si="4"/>
        <v>43</v>
      </c>
    </row>
    <row r="300" spans="1:2" x14ac:dyDescent="0.25">
      <c r="A300" s="109">
        <v>46352</v>
      </c>
      <c r="B300" s="108">
        <f t="shared" si="4"/>
        <v>43</v>
      </c>
    </row>
    <row r="301" spans="1:2" x14ac:dyDescent="0.25">
      <c r="A301" s="109">
        <v>46353</v>
      </c>
      <c r="B301" s="108">
        <f t="shared" si="4"/>
        <v>43</v>
      </c>
    </row>
    <row r="302" spans="1:2" x14ac:dyDescent="0.25">
      <c r="A302" s="109">
        <v>46354</v>
      </c>
      <c r="B302" s="108">
        <f t="shared" si="4"/>
        <v>44</v>
      </c>
    </row>
    <row r="303" spans="1:2" x14ac:dyDescent="0.25">
      <c r="A303" s="109">
        <v>46355</v>
      </c>
      <c r="B303" s="108">
        <f t="shared" si="4"/>
        <v>44</v>
      </c>
    </row>
    <row r="304" spans="1:2" x14ac:dyDescent="0.25">
      <c r="A304" s="109">
        <v>46356</v>
      </c>
      <c r="B304" s="108">
        <f t="shared" si="4"/>
        <v>44</v>
      </c>
    </row>
    <row r="305" spans="1:2" x14ac:dyDescent="0.25">
      <c r="A305" s="109">
        <v>46357</v>
      </c>
      <c r="B305" s="108">
        <f t="shared" si="4"/>
        <v>44</v>
      </c>
    </row>
    <row r="306" spans="1:2" x14ac:dyDescent="0.25">
      <c r="A306" s="109">
        <v>46358</v>
      </c>
      <c r="B306" s="108">
        <f t="shared" si="4"/>
        <v>44</v>
      </c>
    </row>
    <row r="307" spans="1:2" x14ac:dyDescent="0.25">
      <c r="A307" s="109">
        <v>46359</v>
      </c>
      <c r="B307" s="108">
        <f t="shared" si="4"/>
        <v>44</v>
      </c>
    </row>
    <row r="308" spans="1:2" x14ac:dyDescent="0.25">
      <c r="A308" s="109">
        <v>46360</v>
      </c>
      <c r="B308" s="108">
        <f t="shared" si="4"/>
        <v>44</v>
      </c>
    </row>
    <row r="309" spans="1:2" x14ac:dyDescent="0.25">
      <c r="A309" s="109">
        <v>46361</v>
      </c>
      <c r="B309" s="108">
        <f t="shared" si="4"/>
        <v>45</v>
      </c>
    </row>
    <row r="310" spans="1:2" x14ac:dyDescent="0.25">
      <c r="A310" s="109">
        <v>46362</v>
      </c>
      <c r="B310" s="108">
        <f t="shared" si="4"/>
        <v>45</v>
      </c>
    </row>
    <row r="311" spans="1:2" x14ac:dyDescent="0.25">
      <c r="A311" s="109">
        <v>46363</v>
      </c>
      <c r="B311" s="108">
        <f t="shared" si="4"/>
        <v>45</v>
      </c>
    </row>
    <row r="312" spans="1:2" x14ac:dyDescent="0.25">
      <c r="A312" s="109">
        <v>46364</v>
      </c>
      <c r="B312" s="108">
        <f t="shared" si="4"/>
        <v>45</v>
      </c>
    </row>
    <row r="313" spans="1:2" x14ac:dyDescent="0.25">
      <c r="A313" s="109">
        <v>46365</v>
      </c>
      <c r="B313" s="108">
        <f t="shared" si="4"/>
        <v>45</v>
      </c>
    </row>
    <row r="314" spans="1:2" x14ac:dyDescent="0.25">
      <c r="A314" s="109">
        <v>46366</v>
      </c>
      <c r="B314" s="108">
        <f t="shared" si="4"/>
        <v>45</v>
      </c>
    </row>
    <row r="315" spans="1:2" x14ac:dyDescent="0.25">
      <c r="A315" s="109">
        <v>46367</v>
      </c>
      <c r="B315" s="108">
        <f t="shared" si="4"/>
        <v>45</v>
      </c>
    </row>
    <row r="316" spans="1:2" x14ac:dyDescent="0.25">
      <c r="A316" s="109">
        <v>46368</v>
      </c>
      <c r="B316" s="108">
        <f t="shared" si="4"/>
        <v>46</v>
      </c>
    </row>
    <row r="317" spans="1:2" x14ac:dyDescent="0.25">
      <c r="A317" s="109">
        <v>46369</v>
      </c>
      <c r="B317" s="108">
        <f t="shared" si="4"/>
        <v>46</v>
      </c>
    </row>
    <row r="318" spans="1:2" x14ac:dyDescent="0.25">
      <c r="A318" s="109">
        <v>46370</v>
      </c>
      <c r="B318" s="108">
        <f t="shared" si="4"/>
        <v>46</v>
      </c>
    </row>
    <row r="319" spans="1:2" x14ac:dyDescent="0.25">
      <c r="A319" s="109">
        <v>46371</v>
      </c>
      <c r="B319" s="108">
        <f t="shared" si="4"/>
        <v>46</v>
      </c>
    </row>
    <row r="320" spans="1:2" x14ac:dyDescent="0.25">
      <c r="A320" s="109">
        <v>46372</v>
      </c>
      <c r="B320" s="108">
        <f t="shared" si="4"/>
        <v>46</v>
      </c>
    </row>
    <row r="321" spans="1:2" x14ac:dyDescent="0.25">
      <c r="A321" s="109">
        <v>46373</v>
      </c>
      <c r="B321" s="108">
        <f t="shared" si="4"/>
        <v>46</v>
      </c>
    </row>
    <row r="322" spans="1:2" x14ac:dyDescent="0.25">
      <c r="A322" s="109">
        <v>46374</v>
      </c>
      <c r="B322" s="108">
        <f t="shared" si="4"/>
        <v>46</v>
      </c>
    </row>
    <row r="323" spans="1:2" x14ac:dyDescent="0.25">
      <c r="A323" s="109">
        <v>46375</v>
      </c>
      <c r="B323" s="108">
        <f t="shared" si="4"/>
        <v>47</v>
      </c>
    </row>
    <row r="324" spans="1:2" x14ac:dyDescent="0.25">
      <c r="A324" s="109">
        <v>46376</v>
      </c>
      <c r="B324" s="108">
        <f t="shared" si="4"/>
        <v>47</v>
      </c>
    </row>
    <row r="325" spans="1:2" x14ac:dyDescent="0.25">
      <c r="A325" s="109">
        <v>46377</v>
      </c>
      <c r="B325" s="108">
        <f t="shared" si="4"/>
        <v>47</v>
      </c>
    </row>
    <row r="326" spans="1:2" x14ac:dyDescent="0.25">
      <c r="A326" s="109">
        <v>46378</v>
      </c>
      <c r="B326" s="108">
        <f t="shared" si="4"/>
        <v>47</v>
      </c>
    </row>
    <row r="327" spans="1:2" x14ac:dyDescent="0.25">
      <c r="A327" s="109">
        <v>46379</v>
      </c>
      <c r="B327" s="108">
        <f t="shared" si="4"/>
        <v>47</v>
      </c>
    </row>
    <row r="328" spans="1:2" x14ac:dyDescent="0.25">
      <c r="A328" s="109">
        <v>46380</v>
      </c>
      <c r="B328" s="108">
        <f t="shared" si="4"/>
        <v>47</v>
      </c>
    </row>
    <row r="329" spans="1:2" x14ac:dyDescent="0.25">
      <c r="A329" s="109">
        <v>46381</v>
      </c>
      <c r="B329" s="108">
        <f t="shared" si="4"/>
        <v>47</v>
      </c>
    </row>
    <row r="330" spans="1:2" x14ac:dyDescent="0.25">
      <c r="A330" s="109">
        <v>46382</v>
      </c>
      <c r="B330" s="108">
        <f t="shared" si="4"/>
        <v>48</v>
      </c>
    </row>
    <row r="331" spans="1:2" x14ac:dyDescent="0.25">
      <c r="A331" s="109">
        <v>46383</v>
      </c>
      <c r="B331" s="108">
        <f t="shared" si="4"/>
        <v>48</v>
      </c>
    </row>
    <row r="332" spans="1:2" x14ac:dyDescent="0.25">
      <c r="A332" s="109">
        <v>46384</v>
      </c>
      <c r="B332" s="108">
        <f t="shared" si="4"/>
        <v>48</v>
      </c>
    </row>
    <row r="333" spans="1:2" x14ac:dyDescent="0.25">
      <c r="A333" s="109">
        <v>46385</v>
      </c>
      <c r="B333" s="108">
        <f t="shared" si="4"/>
        <v>48</v>
      </c>
    </row>
    <row r="334" spans="1:2" x14ac:dyDescent="0.25">
      <c r="A334" s="109">
        <v>46386</v>
      </c>
      <c r="B334" s="108">
        <f t="shared" si="4"/>
        <v>48</v>
      </c>
    </row>
    <row r="335" spans="1:2" x14ac:dyDescent="0.25">
      <c r="A335" s="109">
        <v>46387</v>
      </c>
      <c r="B335" s="108">
        <f t="shared" si="4"/>
        <v>48</v>
      </c>
    </row>
    <row r="336" spans="1:2" x14ac:dyDescent="0.25">
      <c r="A336" s="109">
        <v>46388</v>
      </c>
      <c r="B336" s="108">
        <f t="shared" ref="B336:B366" si="5">B329+1</f>
        <v>48</v>
      </c>
    </row>
    <row r="337" spans="1:2" x14ac:dyDescent="0.25">
      <c r="A337" s="109">
        <v>46389</v>
      </c>
      <c r="B337" s="108">
        <f t="shared" si="5"/>
        <v>49</v>
      </c>
    </row>
    <row r="338" spans="1:2" x14ac:dyDescent="0.25">
      <c r="A338" s="109">
        <v>46390</v>
      </c>
      <c r="B338" s="108">
        <f t="shared" si="5"/>
        <v>49</v>
      </c>
    </row>
    <row r="339" spans="1:2" x14ac:dyDescent="0.25">
      <c r="A339" s="109">
        <v>46391</v>
      </c>
      <c r="B339" s="108">
        <f t="shared" si="5"/>
        <v>49</v>
      </c>
    </row>
    <row r="340" spans="1:2" x14ac:dyDescent="0.25">
      <c r="A340" s="109">
        <v>46392</v>
      </c>
      <c r="B340" s="108">
        <f t="shared" si="5"/>
        <v>49</v>
      </c>
    </row>
    <row r="341" spans="1:2" x14ac:dyDescent="0.25">
      <c r="A341" s="109">
        <v>46393</v>
      </c>
      <c r="B341" s="108">
        <f t="shared" si="5"/>
        <v>49</v>
      </c>
    </row>
    <row r="342" spans="1:2" x14ac:dyDescent="0.25">
      <c r="A342" s="109">
        <v>46394</v>
      </c>
      <c r="B342" s="108">
        <f t="shared" si="5"/>
        <v>49</v>
      </c>
    </row>
    <row r="343" spans="1:2" x14ac:dyDescent="0.25">
      <c r="A343" s="109">
        <v>46395</v>
      </c>
      <c r="B343" s="108">
        <f t="shared" si="5"/>
        <v>49</v>
      </c>
    </row>
    <row r="344" spans="1:2" x14ac:dyDescent="0.25">
      <c r="A344" s="109">
        <v>46396</v>
      </c>
      <c r="B344" s="108">
        <f t="shared" si="5"/>
        <v>50</v>
      </c>
    </row>
    <row r="345" spans="1:2" x14ac:dyDescent="0.25">
      <c r="A345" s="109">
        <v>46397</v>
      </c>
      <c r="B345" s="108">
        <f t="shared" si="5"/>
        <v>50</v>
      </c>
    </row>
    <row r="346" spans="1:2" x14ac:dyDescent="0.25">
      <c r="A346" s="109">
        <v>46398</v>
      </c>
      <c r="B346" s="108">
        <f t="shared" si="5"/>
        <v>50</v>
      </c>
    </row>
    <row r="347" spans="1:2" x14ac:dyDescent="0.25">
      <c r="A347" s="109">
        <v>46399</v>
      </c>
      <c r="B347" s="108">
        <f t="shared" si="5"/>
        <v>50</v>
      </c>
    </row>
    <row r="348" spans="1:2" x14ac:dyDescent="0.25">
      <c r="A348" s="109">
        <v>46400</v>
      </c>
      <c r="B348" s="108">
        <f t="shared" si="5"/>
        <v>50</v>
      </c>
    </row>
    <row r="349" spans="1:2" x14ac:dyDescent="0.25">
      <c r="A349" s="109">
        <v>46401</v>
      </c>
      <c r="B349" s="108">
        <f t="shared" si="5"/>
        <v>50</v>
      </c>
    </row>
    <row r="350" spans="1:2" x14ac:dyDescent="0.25">
      <c r="A350" s="109">
        <v>46402</v>
      </c>
      <c r="B350" s="108">
        <f t="shared" si="5"/>
        <v>50</v>
      </c>
    </row>
    <row r="351" spans="1:2" x14ac:dyDescent="0.25">
      <c r="A351" s="109">
        <v>46403</v>
      </c>
      <c r="B351" s="108">
        <f t="shared" si="5"/>
        <v>51</v>
      </c>
    </row>
    <row r="352" spans="1:2" x14ac:dyDescent="0.25">
      <c r="A352" s="109">
        <v>46404</v>
      </c>
      <c r="B352" s="108">
        <f t="shared" si="5"/>
        <v>51</v>
      </c>
    </row>
    <row r="353" spans="1:2" x14ac:dyDescent="0.25">
      <c r="A353" s="109">
        <v>46405</v>
      </c>
      <c r="B353" s="108">
        <f t="shared" si="5"/>
        <v>51</v>
      </c>
    </row>
    <row r="354" spans="1:2" x14ac:dyDescent="0.25">
      <c r="A354" s="109">
        <v>46406</v>
      </c>
      <c r="B354" s="108">
        <f t="shared" si="5"/>
        <v>51</v>
      </c>
    </row>
    <row r="355" spans="1:2" x14ac:dyDescent="0.25">
      <c r="A355" s="109">
        <v>46407</v>
      </c>
      <c r="B355" s="108">
        <f t="shared" si="5"/>
        <v>51</v>
      </c>
    </row>
    <row r="356" spans="1:2" x14ac:dyDescent="0.25">
      <c r="A356" s="109">
        <v>46408</v>
      </c>
      <c r="B356" s="108">
        <f t="shared" si="5"/>
        <v>51</v>
      </c>
    </row>
    <row r="357" spans="1:2" x14ac:dyDescent="0.25">
      <c r="A357" s="109">
        <v>46409</v>
      </c>
      <c r="B357" s="108">
        <f t="shared" si="5"/>
        <v>51</v>
      </c>
    </row>
    <row r="358" spans="1:2" x14ac:dyDescent="0.25">
      <c r="A358" s="109">
        <v>46410</v>
      </c>
      <c r="B358" s="108">
        <f t="shared" si="5"/>
        <v>52</v>
      </c>
    </row>
    <row r="359" spans="1:2" x14ac:dyDescent="0.25">
      <c r="A359" s="109">
        <v>46411</v>
      </c>
      <c r="B359" s="108">
        <f t="shared" si="5"/>
        <v>52</v>
      </c>
    </row>
    <row r="360" spans="1:2" x14ac:dyDescent="0.25">
      <c r="A360" s="109">
        <v>46412</v>
      </c>
      <c r="B360" s="108">
        <f t="shared" si="5"/>
        <v>52</v>
      </c>
    </row>
    <row r="361" spans="1:2" x14ac:dyDescent="0.25">
      <c r="A361" s="109">
        <v>46413</v>
      </c>
      <c r="B361" s="108">
        <f t="shared" si="5"/>
        <v>52</v>
      </c>
    </row>
    <row r="362" spans="1:2" x14ac:dyDescent="0.25">
      <c r="A362" s="109">
        <v>46414</v>
      </c>
      <c r="B362" s="108">
        <f t="shared" si="5"/>
        <v>52</v>
      </c>
    </row>
    <row r="363" spans="1:2" x14ac:dyDescent="0.25">
      <c r="A363" s="109">
        <v>46415</v>
      </c>
      <c r="B363" s="108">
        <f t="shared" si="5"/>
        <v>52</v>
      </c>
    </row>
    <row r="364" spans="1:2" x14ac:dyDescent="0.25">
      <c r="A364" s="109">
        <v>46416</v>
      </c>
      <c r="B364" s="108">
        <f t="shared" si="5"/>
        <v>52</v>
      </c>
    </row>
    <row r="365" spans="1:2" x14ac:dyDescent="0.25">
      <c r="A365" s="109">
        <v>46417</v>
      </c>
      <c r="B365" s="108">
        <f t="shared" si="5"/>
        <v>53</v>
      </c>
    </row>
    <row r="366" spans="1:2" x14ac:dyDescent="0.25">
      <c r="A366" s="109">
        <v>46418</v>
      </c>
      <c r="B366" s="108">
        <f t="shared" si="5"/>
        <v>53</v>
      </c>
    </row>
  </sheetData>
  <mergeCells count="4">
    <mergeCell ref="N2:N4"/>
    <mergeCell ref="N5:N7"/>
    <mergeCell ref="N8:N10"/>
    <mergeCell ref="N11:N13"/>
  </mergeCells>
  <phoneticPr fontId="1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2EBBACD82105340A91324964E93FF49" ma:contentTypeVersion="15" ma:contentTypeDescription="Create a new document." ma:contentTypeScope="" ma:versionID="7329edaaee89349510b5fe31ddec06b8">
  <xsd:schema xmlns:xsd="http://www.w3.org/2001/XMLSchema" xmlns:xs="http://www.w3.org/2001/XMLSchema" xmlns:p="http://schemas.microsoft.com/office/2006/metadata/properties" xmlns:ns2="a8552d75-6f1f-4d52-93a3-fcd36dc2752d" xmlns:ns3="1785dff3-9909-4165-bde0-36ec47a4b18f" targetNamespace="http://schemas.microsoft.com/office/2006/metadata/properties" ma:root="true" ma:fieldsID="52e457d9bdc8fb3aec099fc7d60c5993" ns2:_="" ns3:_="">
    <xsd:import namespace="a8552d75-6f1f-4d52-93a3-fcd36dc2752d"/>
    <xsd:import namespace="1785dff3-9909-4165-bde0-36ec47a4b18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552d75-6f1f-4d52-93a3-fcd36dc275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d3d5d5d-fde7-4fdb-a831-fd453e1daa6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785dff3-9909-4165-bde0-36ec47a4b18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2d895c8-1744-4b32-a97e-2a06b45b5c39}" ma:internalName="TaxCatchAll" ma:showField="CatchAllData" ma:web="1785dff3-9909-4165-bde0-36ec47a4b18f">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8552d75-6f1f-4d52-93a3-fcd36dc2752d">
      <Terms xmlns="http://schemas.microsoft.com/office/infopath/2007/PartnerControls"/>
    </lcf76f155ced4ddcb4097134ff3c332f>
    <TaxCatchAll xmlns="1785dff3-9909-4165-bde0-36ec47a4b18f" xsi:nil="true"/>
  </documentManagement>
</p:properties>
</file>

<file path=customXml/itemProps1.xml><?xml version="1.0" encoding="utf-8"?>
<ds:datastoreItem xmlns:ds="http://schemas.openxmlformats.org/officeDocument/2006/customXml" ds:itemID="{B8993D78-ABDB-48CF-A6AD-3E9555EB10CC}">
  <ds:schemaRefs>
    <ds:schemaRef ds:uri="http://schemas.microsoft.com/sharepoint/v3/contenttype/forms"/>
  </ds:schemaRefs>
</ds:datastoreItem>
</file>

<file path=customXml/itemProps2.xml><?xml version="1.0" encoding="utf-8"?>
<ds:datastoreItem xmlns:ds="http://schemas.openxmlformats.org/officeDocument/2006/customXml" ds:itemID="{89752E9E-F7C9-411F-9EA3-B9C1D8EEB1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552d75-6f1f-4d52-93a3-fcd36dc2752d"/>
    <ds:schemaRef ds:uri="1785dff3-9909-4165-bde0-36ec47a4b1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2F9F6E-B88F-40CF-A00D-5A52044E6B25}">
  <ds:schemaRefs>
    <ds:schemaRef ds:uri="http://www.w3.org/XML/1998/namespace"/>
    <ds:schemaRef ds:uri="http://purl.org/dc/dcmitype/"/>
    <ds:schemaRef ds:uri="http://schemas.openxmlformats.org/package/2006/metadata/core-properties"/>
    <ds:schemaRef ds:uri="http://schemas.microsoft.com/office/infopath/2007/PartnerControls"/>
    <ds:schemaRef ds:uri="http://schemas.microsoft.com/office/2006/documentManagement/types"/>
    <ds:schemaRef ds:uri="http://purl.org/dc/elements/1.1/"/>
    <ds:schemaRef ds:uri="http://schemas.microsoft.com/office/2006/metadata/properties"/>
    <ds:schemaRef ds:uri="1785dff3-9909-4165-bde0-36ec47a4b18f"/>
    <ds:schemaRef ds:uri="a8552d75-6f1f-4d52-93a3-fcd36dc2752d"/>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TUE FC Asset Plan SteerCo</vt:lpstr>
      <vt:lpstr>NG Scheduling</vt:lpstr>
      <vt:lpstr>NG Timelines</vt:lpstr>
      <vt:lpstr>NG Budget</vt:lpstr>
      <vt:lpstr>Automation Launch Dates</vt:lpstr>
      <vt:lpstr>Info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Kourtney Miller</dc:creator>
  <cp:keywords/>
  <dc:description/>
  <cp:lastModifiedBy>Kourtney Miller</cp:lastModifiedBy>
  <cp:revision/>
  <dcterms:created xsi:type="dcterms:W3CDTF">2025-04-11T19:23:14Z</dcterms:created>
  <dcterms:modified xsi:type="dcterms:W3CDTF">2026-05-21T14:41:34Z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0x010100E2EBBACD82105340A91324964E93FF49</vt:lpwstr>
  </property>
  <property fmtid="{D5CDD505-2E9C-101B-9397-08002B2CF9AE}" pid="3" name="MediaServiceImageTags">
    <vt:lpwstr/>
  </property>
  <property fmtid="{D5CDD505-2E9C-101B-9397-08002B2CF9AE}" pid="4" name="MSIP_Label_444a753e-b937-4727-8173-58e965e4ef41_Enabled">
    <vt:lpwstr>true</vt:lpwstr>
  </property>
  <property fmtid="{D5CDD505-2E9C-101B-9397-08002B2CF9AE}" pid="5" name="MSIP_Label_444a753e-b937-4727-8173-58e965e4ef41_SetDate">
    <vt:lpwstr>2026-03-31T15:09:37Z</vt:lpwstr>
  </property>
  <property fmtid="{D5CDD505-2E9C-101B-9397-08002B2CF9AE}" pid="6" name="MSIP_Label_444a753e-b937-4727-8173-58e965e4ef41_Method">
    <vt:lpwstr>Standard</vt:lpwstr>
  </property>
  <property fmtid="{D5CDD505-2E9C-101B-9397-08002B2CF9AE}" pid="7" name="MSIP_Label_444a753e-b937-4727-8173-58e965e4ef41_Name">
    <vt:lpwstr>0a306a40-471c-426e-91d6-468476917b5e</vt:lpwstr>
  </property>
  <property fmtid="{D5CDD505-2E9C-101B-9397-08002B2CF9AE}" pid="8" name="MSIP_Label_444a753e-b937-4727-8173-58e965e4ef41_SiteId">
    <vt:lpwstr>3cbcc3d3-094d-4006-9849-0d11d61f484d</vt:lpwstr>
  </property>
  <property fmtid="{D5CDD505-2E9C-101B-9397-08002B2CF9AE}" pid="9" name="MSIP_Label_444a753e-b937-4727-8173-58e965e4ef41_ActionId">
    <vt:lpwstr>32c8295c-bb28-4586-8d51-1536bf35669e</vt:lpwstr>
  </property>
  <property fmtid="{D5CDD505-2E9C-101B-9397-08002B2CF9AE}" pid="10" name="MSIP_Label_444a753e-b937-4727-8173-58e965e4ef41_ContentBits">
    <vt:lpwstr>0</vt:lpwstr>
  </property>
  <property fmtid="{D5CDD505-2E9C-101B-9397-08002B2CF9AE}" pid="11" name="MSIP_Label_444a753e-b937-4727-8173-58e965e4ef41_Tag">
    <vt:lpwstr>10, 3, 0, 2</vt:lpwstr>
  </property>
</Properties>
</file>