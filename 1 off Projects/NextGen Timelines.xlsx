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k0m0eg1_homeoffice_wal-mart_com/Documents/Desktop/Code Puppy Saved Work/1 off Projects/"/>
    </mc:Choice>
  </mc:AlternateContent>
  <xr:revisionPtr revIDLastSave="51" documentId="8_{15B773B5-FBA2-41BB-BBB0-4142D6B7FEB4}" xr6:coauthVersionLast="47" xr6:coauthVersionMax="47" xr10:uidLastSave="{B35E9EC6-85E4-4999-8AB2-7A8A7CE87344}"/>
  <bookViews>
    <workbookView xWindow="1575" yWindow="3660" windowWidth="22215" windowHeight="16305" activeTab="1" xr2:uid="{352DC751-2C03-4C9E-8BC4-73F68DA993AC}"/>
  </bookViews>
  <sheets>
    <sheet name="Sheet1" sheetId="1" r:id="rId1"/>
    <sheet name="Start to Fin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B11" i="2"/>
  <c r="D31" i="1"/>
  <c r="C31" i="1"/>
  <c r="C30" i="1"/>
  <c r="D30" i="1"/>
  <c r="B30" i="1"/>
  <c r="C29" i="1"/>
  <c r="D29" i="1"/>
  <c r="B29" i="1"/>
</calcChain>
</file>

<file path=xl/sharedStrings.xml><?xml version="1.0" encoding="utf-8"?>
<sst xmlns="http://schemas.openxmlformats.org/spreadsheetml/2006/main" count="74" uniqueCount="54">
  <si>
    <t>Site Selected</t>
  </si>
  <si>
    <t>30% Design Complete</t>
  </si>
  <si>
    <t>30% ROM Pricing</t>
  </si>
  <si>
    <t>60% Design Complete</t>
  </si>
  <si>
    <t>60% ROM Pricing</t>
  </si>
  <si>
    <t>90% Design Complete</t>
  </si>
  <si>
    <t>Out to Permit</t>
  </si>
  <si>
    <t>Permit Complete</t>
  </si>
  <si>
    <t>Construction Start</t>
  </si>
  <si>
    <t>Construction Substantial Completion</t>
  </si>
  <si>
    <t>Phase 1 Go-live</t>
  </si>
  <si>
    <t>Phase 2 Go-live</t>
  </si>
  <si>
    <t>ASM</t>
  </si>
  <si>
    <t>Engineering Design and Install</t>
  </si>
  <si>
    <t>30 % Design - ENG</t>
  </si>
  <si>
    <t>60% Design -ENG</t>
  </si>
  <si>
    <t>90% Design - ENG</t>
  </si>
  <si>
    <t>KNAPP Signed SOW</t>
  </si>
  <si>
    <t>KNAPP start of Install (Start)</t>
  </si>
  <si>
    <t>Node</t>
  </si>
  <si>
    <t xml:space="preserve">Southeast </t>
  </si>
  <si>
    <t>West</t>
  </si>
  <si>
    <t>Northeast</t>
  </si>
  <si>
    <t>Southeast</t>
  </si>
  <si>
    <t>Upper Midwest</t>
  </si>
  <si>
    <t>Mountain West</t>
  </si>
  <si>
    <t>Pacific Northwest</t>
  </si>
  <si>
    <t xml:space="preserve">Location </t>
  </si>
  <si>
    <t>Carnesville, GA</t>
  </si>
  <si>
    <t>Buckeye, AZ</t>
  </si>
  <si>
    <t>Wallkill, NY</t>
  </si>
  <si>
    <t>Orlando, FL</t>
  </si>
  <si>
    <t>Minneapolis, MN</t>
  </si>
  <si>
    <t>Denver, CO</t>
  </si>
  <si>
    <t>Seattle, WA</t>
  </si>
  <si>
    <t>State</t>
  </si>
  <si>
    <t>GA</t>
  </si>
  <si>
    <t>AZ</t>
  </si>
  <si>
    <t>NY</t>
  </si>
  <si>
    <t>FL</t>
  </si>
  <si>
    <t>MN</t>
  </si>
  <si>
    <t>CO</t>
  </si>
  <si>
    <t>WA</t>
  </si>
  <si>
    <t>FC Number</t>
  </si>
  <si>
    <t>TBD</t>
  </si>
  <si>
    <t>Airport Code</t>
  </si>
  <si>
    <t xml:space="preserve"> ATL5</t>
  </si>
  <si>
    <t>LGA1</t>
  </si>
  <si>
    <t>MCO?</t>
  </si>
  <si>
    <t>MSP?</t>
  </si>
  <si>
    <t xml:space="preserve">DEN? </t>
  </si>
  <si>
    <t xml:space="preserve">SEA? </t>
  </si>
  <si>
    <t>Start of Design</t>
  </si>
  <si>
    <t>Start of Design to Phase 1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</si>
</sst>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71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4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DA29-6A0A-44C5-AA2D-B6FC8CE76FDB}">
  <dimension ref="A1:K31"/>
  <sheetViews>
    <sheetView workbookViewId="0">
      <selection activeCell="B31" sqref="B31"/>
    </sheetView>
  </sheetViews>
  <sheetFormatPr defaultRowHeight="15" x14ac:dyDescent="0.25"/>
  <cols>
    <col min="1" max="1" width="35.42578125" customWidth="1"/>
    <col min="2" max="2" width="14.42578125" customWidth="1"/>
    <col min="3" max="8" width="15.85546875" customWidth="1"/>
    <col min="11" max="11" width="10.140625" bestFit="1" customWidth="1"/>
  </cols>
  <sheetData>
    <row r="1" spans="1:11" x14ac:dyDescent="0.25">
      <c r="A1" t="s">
        <v>19</v>
      </c>
      <c r="B1" s="2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11" s="1" customFormat="1" x14ac:dyDescent="0.25">
      <c r="A2" s="1" t="s">
        <v>27</v>
      </c>
      <c r="B2" s="10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</row>
    <row r="3" spans="1:11" x14ac:dyDescent="0.25">
      <c r="A3" t="s">
        <v>35</v>
      </c>
      <c r="B3" s="2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</row>
    <row r="4" spans="1:11" x14ac:dyDescent="0.25">
      <c r="A4" t="s">
        <v>43</v>
      </c>
      <c r="B4" s="9">
        <v>4843</v>
      </c>
      <c r="C4" s="9" t="s">
        <v>44</v>
      </c>
      <c r="D4" s="9">
        <v>7028</v>
      </c>
      <c r="E4" s="9" t="s">
        <v>44</v>
      </c>
      <c r="F4" s="9" t="s">
        <v>44</v>
      </c>
      <c r="G4" s="9" t="s">
        <v>44</v>
      </c>
      <c r="H4" s="9" t="s">
        <v>44</v>
      </c>
    </row>
    <row r="5" spans="1:11" x14ac:dyDescent="0.25">
      <c r="A5" t="s">
        <v>45</v>
      </c>
      <c r="B5" s="2" t="s">
        <v>46</v>
      </c>
      <c r="C5" s="9" t="s">
        <v>44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</row>
    <row r="6" spans="1:11" x14ac:dyDescent="0.25">
      <c r="A6" s="1" t="s">
        <v>0</v>
      </c>
      <c r="B6" s="2">
        <v>45800</v>
      </c>
      <c r="C6" s="2">
        <v>46114</v>
      </c>
      <c r="D6" s="2">
        <v>45952</v>
      </c>
      <c r="E6" s="2">
        <v>46248</v>
      </c>
      <c r="F6" s="3">
        <v>46248</v>
      </c>
      <c r="G6" s="2">
        <v>46283</v>
      </c>
      <c r="H6" s="2">
        <v>46283</v>
      </c>
      <c r="I6" s="4"/>
      <c r="K6" s="5"/>
    </row>
    <row r="7" spans="1:11" x14ac:dyDescent="0.25">
      <c r="A7" t="s">
        <v>1</v>
      </c>
      <c r="B7" s="2" t="s">
        <v>28</v>
      </c>
      <c r="C7" s="2">
        <v>46185</v>
      </c>
      <c r="D7" s="2">
        <v>46080</v>
      </c>
      <c r="E7" s="6">
        <v>46367</v>
      </c>
      <c r="F7" s="6">
        <v>46269</v>
      </c>
      <c r="G7" s="6">
        <v>46395</v>
      </c>
      <c r="H7" s="6">
        <v>46395</v>
      </c>
      <c r="I7" s="4"/>
    </row>
    <row r="8" spans="1:11" x14ac:dyDescent="0.25">
      <c r="A8" s="1" t="s">
        <v>2</v>
      </c>
      <c r="B8" s="2">
        <v>45982</v>
      </c>
      <c r="C8" s="2">
        <v>46220</v>
      </c>
      <c r="D8" s="2">
        <v>46115</v>
      </c>
      <c r="E8" s="6">
        <v>46416</v>
      </c>
      <c r="F8" s="6">
        <v>46416</v>
      </c>
      <c r="G8" s="6">
        <v>46430</v>
      </c>
      <c r="H8" s="6">
        <v>46430</v>
      </c>
      <c r="I8" s="4"/>
    </row>
    <row r="9" spans="1:11" x14ac:dyDescent="0.25">
      <c r="A9" t="s">
        <v>3</v>
      </c>
      <c r="B9" s="2">
        <v>46087</v>
      </c>
      <c r="C9" s="2">
        <v>46255</v>
      </c>
      <c r="D9" s="2">
        <v>46150</v>
      </c>
      <c r="E9" s="6">
        <v>46451</v>
      </c>
      <c r="F9" s="6">
        <v>46451</v>
      </c>
      <c r="G9" s="6">
        <v>46465</v>
      </c>
      <c r="H9" s="6">
        <v>46465</v>
      </c>
      <c r="I9" s="4"/>
    </row>
    <row r="10" spans="1:11" x14ac:dyDescent="0.25">
      <c r="A10" s="1" t="s">
        <v>4</v>
      </c>
      <c r="B10" s="2">
        <v>46122</v>
      </c>
      <c r="C10" s="2">
        <v>46290</v>
      </c>
      <c r="D10" s="2">
        <v>46185</v>
      </c>
      <c r="E10" s="6">
        <v>46486</v>
      </c>
      <c r="F10" s="6">
        <v>46486</v>
      </c>
      <c r="G10" s="6">
        <v>46500</v>
      </c>
      <c r="H10" s="6">
        <v>46500</v>
      </c>
      <c r="I10" s="4"/>
    </row>
    <row r="11" spans="1:11" x14ac:dyDescent="0.25">
      <c r="A11" t="s">
        <v>5</v>
      </c>
      <c r="B11" s="2">
        <v>46143</v>
      </c>
      <c r="C11" s="2">
        <v>46325</v>
      </c>
      <c r="D11" s="2">
        <v>46220</v>
      </c>
      <c r="E11" s="6">
        <v>46521</v>
      </c>
      <c r="F11" s="6">
        <v>46521</v>
      </c>
      <c r="G11" s="6">
        <v>46535</v>
      </c>
      <c r="H11" s="6">
        <v>46535</v>
      </c>
      <c r="I11" s="4"/>
    </row>
    <row r="12" spans="1:11" x14ac:dyDescent="0.25">
      <c r="A12" t="s">
        <v>6</v>
      </c>
      <c r="B12" s="2">
        <v>46143</v>
      </c>
      <c r="C12" s="2">
        <v>46391</v>
      </c>
      <c r="D12" s="2">
        <v>46132</v>
      </c>
      <c r="E12" s="6">
        <v>46531</v>
      </c>
      <c r="F12" s="6">
        <v>46531</v>
      </c>
      <c r="G12" s="6">
        <v>46545</v>
      </c>
      <c r="H12" s="6">
        <v>46545</v>
      </c>
      <c r="I12" s="4"/>
    </row>
    <row r="13" spans="1:11" x14ac:dyDescent="0.25">
      <c r="A13" t="s">
        <v>7</v>
      </c>
      <c r="B13" s="2">
        <v>46248</v>
      </c>
      <c r="C13" s="2">
        <v>46465</v>
      </c>
      <c r="D13" s="2">
        <v>46780</v>
      </c>
      <c r="E13" s="6">
        <v>46731</v>
      </c>
      <c r="F13" s="6">
        <v>46731</v>
      </c>
      <c r="G13" s="6">
        <v>46913</v>
      </c>
      <c r="H13" s="6">
        <v>46913</v>
      </c>
      <c r="I13" s="4"/>
    </row>
    <row r="14" spans="1:11" x14ac:dyDescent="0.25">
      <c r="A14" s="1" t="s">
        <v>8</v>
      </c>
      <c r="B14" s="2">
        <v>46272</v>
      </c>
      <c r="C14" s="2">
        <v>46496</v>
      </c>
      <c r="D14" s="2">
        <v>46811</v>
      </c>
      <c r="E14" s="6">
        <v>46762</v>
      </c>
      <c r="F14" s="6">
        <v>46762</v>
      </c>
      <c r="G14" s="6">
        <v>46944</v>
      </c>
      <c r="H14" s="6">
        <v>46944</v>
      </c>
      <c r="I14" s="4"/>
    </row>
    <row r="15" spans="1:11" x14ac:dyDescent="0.25">
      <c r="A15" s="1" t="s">
        <v>9</v>
      </c>
      <c r="B15" s="2">
        <v>46878</v>
      </c>
      <c r="C15" s="2">
        <v>47102</v>
      </c>
      <c r="D15" s="2">
        <v>47417</v>
      </c>
      <c r="E15" s="6">
        <v>47375</v>
      </c>
      <c r="F15" s="6">
        <v>47375</v>
      </c>
      <c r="G15" s="6">
        <v>47543</v>
      </c>
      <c r="H15" s="6">
        <v>47543</v>
      </c>
      <c r="I15" s="4"/>
    </row>
    <row r="16" spans="1:11" x14ac:dyDescent="0.25">
      <c r="A16" s="1" t="s">
        <v>10</v>
      </c>
      <c r="B16" s="2">
        <v>47056</v>
      </c>
      <c r="C16" s="2">
        <v>47291</v>
      </c>
      <c r="D16" s="2">
        <v>47615</v>
      </c>
      <c r="E16" s="6">
        <v>47553</v>
      </c>
      <c r="F16" s="6">
        <v>47553</v>
      </c>
      <c r="G16" s="6">
        <v>47735</v>
      </c>
      <c r="H16" s="6">
        <v>47735</v>
      </c>
      <c r="I16" s="4"/>
    </row>
    <row r="17" spans="1:11" x14ac:dyDescent="0.25">
      <c r="A17" s="1" t="s">
        <v>11</v>
      </c>
      <c r="B17" s="2">
        <v>47245</v>
      </c>
      <c r="C17" s="2">
        <v>47455</v>
      </c>
      <c r="D17" s="2">
        <v>47791</v>
      </c>
      <c r="E17" s="6">
        <v>47728</v>
      </c>
      <c r="F17" s="6">
        <v>47728</v>
      </c>
      <c r="G17" s="6">
        <v>47917</v>
      </c>
      <c r="H17" s="6">
        <v>47917</v>
      </c>
      <c r="I17" s="4"/>
    </row>
    <row r="18" spans="1:11" ht="15.75" x14ac:dyDescent="0.25">
      <c r="A18" s="7" t="s">
        <v>12</v>
      </c>
      <c r="B18" s="2">
        <v>46162</v>
      </c>
      <c r="C18" s="2">
        <v>46366</v>
      </c>
      <c r="D18" s="2">
        <v>46253</v>
      </c>
      <c r="E18" s="6">
        <v>46555</v>
      </c>
      <c r="F18" s="6">
        <v>46555</v>
      </c>
      <c r="G18" s="6">
        <v>46583</v>
      </c>
      <c r="H18" s="6">
        <v>46583</v>
      </c>
      <c r="I18" s="4"/>
    </row>
    <row r="19" spans="1:11" x14ac:dyDescent="0.25">
      <c r="A19" s="8" t="s">
        <v>13</v>
      </c>
      <c r="B19" s="2"/>
      <c r="C19" s="9"/>
      <c r="D19" s="9"/>
      <c r="E19" s="9"/>
      <c r="F19" s="9"/>
      <c r="G19" s="9"/>
      <c r="H19" s="9"/>
    </row>
    <row r="20" spans="1:11" x14ac:dyDescent="0.25">
      <c r="A20" t="s">
        <v>14</v>
      </c>
      <c r="B20" s="2">
        <v>45928</v>
      </c>
      <c r="C20" s="2">
        <v>46155</v>
      </c>
      <c r="D20" s="2">
        <v>46050</v>
      </c>
      <c r="E20" s="2">
        <v>46337</v>
      </c>
      <c r="F20" s="2">
        <v>46239</v>
      </c>
      <c r="G20" s="2">
        <v>46365</v>
      </c>
      <c r="H20" s="2">
        <v>46365</v>
      </c>
    </row>
    <row r="21" spans="1:11" x14ac:dyDescent="0.25">
      <c r="A21" t="s">
        <v>15</v>
      </c>
      <c r="B21" s="2">
        <v>46057</v>
      </c>
      <c r="C21" s="2">
        <v>46225</v>
      </c>
      <c r="D21" s="2">
        <v>46120</v>
      </c>
      <c r="E21" s="2">
        <v>46421</v>
      </c>
      <c r="F21" s="2">
        <v>46421</v>
      </c>
      <c r="G21" s="2">
        <v>46435</v>
      </c>
      <c r="H21" s="2">
        <v>46435</v>
      </c>
    </row>
    <row r="22" spans="1:11" x14ac:dyDescent="0.25">
      <c r="A22" t="s">
        <v>16</v>
      </c>
      <c r="B22" s="2">
        <v>46113</v>
      </c>
      <c r="C22" s="2">
        <v>46295</v>
      </c>
      <c r="D22" s="2">
        <v>46190</v>
      </c>
      <c r="E22" s="2">
        <v>46491</v>
      </c>
      <c r="F22" s="2">
        <v>46491</v>
      </c>
      <c r="G22" s="2">
        <v>46505</v>
      </c>
      <c r="H22" s="2">
        <v>46505</v>
      </c>
    </row>
    <row r="23" spans="1:11" x14ac:dyDescent="0.25">
      <c r="A23" t="s">
        <v>17</v>
      </c>
      <c r="B23" s="2">
        <v>46169</v>
      </c>
      <c r="C23" s="2">
        <v>46373</v>
      </c>
      <c r="D23" s="2">
        <v>46260</v>
      </c>
      <c r="E23" s="2">
        <v>46562</v>
      </c>
      <c r="F23" s="2">
        <v>46562</v>
      </c>
      <c r="G23" s="2">
        <v>46590</v>
      </c>
      <c r="H23" s="2">
        <v>46590</v>
      </c>
    </row>
    <row r="24" spans="1:11" x14ac:dyDescent="0.25">
      <c r="A24" t="s">
        <v>18</v>
      </c>
      <c r="B24" s="2">
        <v>46539</v>
      </c>
      <c r="C24" s="2">
        <v>46774</v>
      </c>
      <c r="D24" s="2">
        <v>47098</v>
      </c>
      <c r="E24" s="2">
        <v>47036</v>
      </c>
      <c r="F24" s="2">
        <v>47036</v>
      </c>
      <c r="G24" s="2">
        <v>47218</v>
      </c>
      <c r="H24" s="2">
        <v>47218</v>
      </c>
    </row>
    <row r="28" spans="1:11" x14ac:dyDescent="0.25">
      <c r="A28" s="1" t="s">
        <v>52</v>
      </c>
      <c r="B28" s="2">
        <v>45859</v>
      </c>
      <c r="C28" s="2">
        <v>46083</v>
      </c>
      <c r="D28" s="2">
        <v>45992</v>
      </c>
      <c r="E28" s="2"/>
      <c r="F28" s="3"/>
      <c r="G28" s="2"/>
      <c r="H28" s="2"/>
      <c r="I28" s="4"/>
      <c r="K28" s="5"/>
    </row>
    <row r="29" spans="1:11" x14ac:dyDescent="0.25">
      <c r="B29">
        <f>B16-B28</f>
        <v>1197</v>
      </c>
      <c r="C29">
        <f t="shared" ref="C29:D29" si="0">C16-C28</f>
        <v>1208</v>
      </c>
      <c r="D29">
        <f t="shared" si="0"/>
        <v>1623</v>
      </c>
    </row>
    <row r="30" spans="1:11" x14ac:dyDescent="0.25">
      <c r="B30" s="12">
        <f>B29/365</f>
        <v>3.2794520547945205</v>
      </c>
      <c r="C30" s="12">
        <f t="shared" ref="C30:D30" si="1">C29/365</f>
        <v>3.3095890410958906</v>
      </c>
      <c r="D30" s="12">
        <f t="shared" si="1"/>
        <v>4.4465753424657537</v>
      </c>
    </row>
    <row r="31" spans="1:11" x14ac:dyDescent="0.25">
      <c r="C31" s="12">
        <f>C30-B30</f>
        <v>3.0136986301370072E-2</v>
      </c>
      <c r="D31" s="12">
        <f>D30-B30</f>
        <v>1.1671232876712332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77D5-5AD7-47B9-973E-6817F3854D69}">
  <dimension ref="A1:D11"/>
  <sheetViews>
    <sheetView tabSelected="1" workbookViewId="0">
      <selection activeCell="L17" sqref="L17"/>
    </sheetView>
  </sheetViews>
  <sheetFormatPr defaultRowHeight="15" x14ac:dyDescent="0.25"/>
  <cols>
    <col min="1" max="1" width="33" customWidth="1"/>
    <col min="2" max="2" width="18.5703125" customWidth="1"/>
    <col min="3" max="3" width="14.85546875" customWidth="1"/>
    <col min="4" max="4" width="16.140625" customWidth="1"/>
  </cols>
  <sheetData>
    <row r="1" spans="1:4" x14ac:dyDescent="0.25">
      <c r="B1" s="2" t="s">
        <v>20</v>
      </c>
      <c r="C1" s="9" t="s">
        <v>21</v>
      </c>
      <c r="D1" s="9" t="s">
        <v>22</v>
      </c>
    </row>
    <row r="2" spans="1:4" x14ac:dyDescent="0.25">
      <c r="B2" s="10" t="s">
        <v>28</v>
      </c>
      <c r="C2" s="11" t="s">
        <v>29</v>
      </c>
      <c r="D2" s="11" t="s">
        <v>30</v>
      </c>
    </row>
    <row r="3" spans="1:4" x14ac:dyDescent="0.25">
      <c r="A3" s="1" t="s">
        <v>52</v>
      </c>
      <c r="B3" s="2">
        <v>45859</v>
      </c>
      <c r="C3" s="2">
        <v>46083</v>
      </c>
      <c r="D3" s="2">
        <v>45992</v>
      </c>
    </row>
    <row r="4" spans="1:4" x14ac:dyDescent="0.25">
      <c r="A4" s="1" t="s">
        <v>4</v>
      </c>
      <c r="B4" s="2">
        <v>46122</v>
      </c>
      <c r="C4" s="2">
        <v>46290</v>
      </c>
      <c r="D4" s="2">
        <v>46206</v>
      </c>
    </row>
    <row r="5" spans="1:4" ht="15.75" x14ac:dyDescent="0.25">
      <c r="A5" s="7" t="s">
        <v>12</v>
      </c>
      <c r="B5" s="2">
        <v>46162</v>
      </c>
      <c r="C5" s="2">
        <v>46366</v>
      </c>
      <c r="D5" s="2">
        <v>46253</v>
      </c>
    </row>
    <row r="6" spans="1:4" x14ac:dyDescent="0.25">
      <c r="A6" s="1" t="s">
        <v>8</v>
      </c>
      <c r="B6" s="2">
        <v>46272</v>
      </c>
      <c r="C6" s="2">
        <v>46496</v>
      </c>
      <c r="D6" s="2">
        <v>46811</v>
      </c>
    </row>
    <row r="7" spans="1:4" x14ac:dyDescent="0.25">
      <c r="A7" t="s">
        <v>18</v>
      </c>
      <c r="B7" s="2">
        <v>46539</v>
      </c>
      <c r="C7" s="2">
        <v>46774</v>
      </c>
      <c r="D7" s="2">
        <v>47098</v>
      </c>
    </row>
    <row r="8" spans="1:4" x14ac:dyDescent="0.25">
      <c r="A8" s="1" t="s">
        <v>9</v>
      </c>
      <c r="B8" s="2">
        <v>46878</v>
      </c>
      <c r="C8" s="2">
        <v>47102</v>
      </c>
      <c r="D8" s="2">
        <v>47417</v>
      </c>
    </row>
    <row r="9" spans="1:4" x14ac:dyDescent="0.25">
      <c r="A9" s="1" t="s">
        <v>10</v>
      </c>
      <c r="B9" s="2">
        <v>47056</v>
      </c>
      <c r="C9" s="2">
        <v>47291</v>
      </c>
      <c r="D9" s="2">
        <v>47615</v>
      </c>
    </row>
    <row r="10" spans="1:4" x14ac:dyDescent="0.25">
      <c r="A10" s="1" t="s">
        <v>11</v>
      </c>
      <c r="B10" s="2">
        <v>47245</v>
      </c>
      <c r="C10" s="2">
        <v>47455</v>
      </c>
      <c r="D10" s="2">
        <v>47791</v>
      </c>
    </row>
    <row r="11" spans="1:4" x14ac:dyDescent="0.25">
      <c r="A11" s="1" t="s">
        <v>53</v>
      </c>
      <c r="B11" s="12">
        <f>(B9-B3)/365</f>
        <v>3.2794520547945205</v>
      </c>
      <c r="C11" s="12">
        <f t="shared" ref="C11:D11" si="0">(C9-C3)/365</f>
        <v>3.3095890410958906</v>
      </c>
      <c r="D11" s="12">
        <f t="shared" si="0"/>
        <v>4.4465753424657537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Start to Finish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Kourtney Miller</dc:creator>
  <cp:lastModifiedBy>Kourtney Miller</cp:lastModifiedBy>
  <dcterms:created xsi:type="dcterms:W3CDTF">2026-04-24T13:05:35Z</dcterms:created>
  <dcterms:modified xsi:type="dcterms:W3CDTF">2026-04-28T12:03:17Z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2026-04-24T13:06:38Z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596529b5-7e44-4922-8330-7ce65398cf86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