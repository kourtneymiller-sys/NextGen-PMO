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wal-mart.com/personal/k0m0eg1_homeoffice_wal-mart_com/Documents/000.  KCM Working Files/01.  Saved Work/"/>
    </mc:Choice>
  </mc:AlternateContent>
  <xr:revisionPtr revIDLastSave="16" documentId="8_{CB582C5D-C6BA-4268-AF2B-6AB666E8B4C6}" xr6:coauthVersionLast="47" xr6:coauthVersionMax="47" xr10:uidLastSave="{51BC45FC-797A-412D-9A8E-EBF33CA6D1B4}"/>
  <bookViews>
    <workbookView xWindow="26700" yWindow="2250" windowWidth="23025" windowHeight="13665" activeTab="2" xr2:uid="{91F97659-2ABD-46ED-8E7A-FD7316E0FC1C}"/>
  </bookViews>
  <sheets>
    <sheet name="Budget" sheetId="1" r:id="rId1"/>
    <sheet name="CapEx Spend by FY" sheetId="2" r:id="rId2"/>
    <sheet name="Timeli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3" l="1"/>
  <c r="C68" i="3"/>
  <c r="B69" i="3"/>
  <c r="B68" i="3"/>
  <c r="C57" i="3"/>
  <c r="C56" i="3" s="1"/>
  <c r="C52" i="3"/>
  <c r="B52" i="3"/>
  <c r="C51" i="3"/>
  <c r="B51" i="3"/>
  <c r="C50" i="3"/>
  <c r="B50" i="3"/>
  <c r="C49" i="3"/>
  <c r="B49" i="3"/>
  <c r="C48" i="3"/>
  <c r="B48" i="3"/>
  <c r="F27" i="2"/>
  <c r="F20" i="2" s="1"/>
  <c r="G27" i="2"/>
  <c r="G20" i="2" s="1"/>
  <c r="H27" i="2"/>
  <c r="H20" i="2" s="1"/>
  <c r="I27" i="2"/>
  <c r="I20" i="2" s="1"/>
  <c r="J27" i="2"/>
  <c r="J20" i="2" s="1"/>
  <c r="E27" i="2"/>
  <c r="D28" i="2"/>
  <c r="D29" i="2"/>
  <c r="D27" i="2" l="1"/>
  <c r="D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tc={71F1A8DD-E9E7-442E-A197-52AA3D0A75A5}</author>
    <author>tc={08EAFD87-1F94-4F49-BB55-310EACBFC7C7}</author>
    <author>tc={F0C81F32-F4BA-4E3A-9A4A-208E0A1385F7}</author>
  </authors>
  <commentList>
    <comment ref="B7" authorId="0" shapeId="0" xr:uid="{71F1A8DD-E9E7-442E-A197-52AA3D0A75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the exact date.  BDR was redone after Aug ASM Rejection.</t>
      </text>
    </comment>
    <comment ref="C13" authorId="1" shapeId="0" xr:uid="{08EAFD87-1F94-4F49-BB55-310EACBFC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Partial 90% approved.  Need additional 417K requires CPC approval by 5/22/26</t>
      </text>
    </comment>
    <comment ref="C63" authorId="2" shapeId="0" xr:uid="{F0C81F32-F4BA-4E3A-9A4A-208E0A1385F7}">
      <text>
        <t>[Threaded comment]
Your version of Excel allows you to read this threaded comment; however, any edits to it will get removed if the file is opened in a newer version of Excel. Learn more: https://go.microsoft.com/fwlink/?linkid=870924
Comment:
    Got pulled from the agenda on 4/23/26 due to a legal not having the right signature.  Pending Rescheduling</t>
      </text>
    </comment>
  </commentList>
</comments>
</file>

<file path=xl/sharedStrings.xml><?xml version="1.0" encoding="utf-8"?>
<sst xmlns="http://schemas.openxmlformats.org/spreadsheetml/2006/main" count="178" uniqueCount="105">
  <si>
    <t>TOTAL BUDGET</t>
  </si>
  <si>
    <t>Base Capex</t>
  </si>
  <si>
    <t>Interest</t>
  </si>
  <si>
    <t>Total Capex</t>
  </si>
  <si>
    <t>Opex</t>
  </si>
  <si>
    <t>Capex/Opex</t>
  </si>
  <si>
    <t>LAND</t>
  </si>
  <si>
    <t>CONSTRUCTION</t>
  </si>
  <si>
    <t>ENERGY</t>
  </si>
  <si>
    <t>INITIAL ORDER</t>
  </si>
  <si>
    <t>MHE</t>
  </si>
  <si>
    <t>TECHNOLOGY</t>
  </si>
  <si>
    <t>Carnesville</t>
  </si>
  <si>
    <t>Wallkill</t>
  </si>
  <si>
    <t>FY29</t>
  </si>
  <si>
    <t>FY26</t>
  </si>
  <si>
    <t>FY27</t>
  </si>
  <si>
    <t>FY28</t>
  </si>
  <si>
    <t>BUSINESS MODEL INPUTS</t>
  </si>
  <si>
    <t>Total</t>
  </si>
  <si>
    <t>FY30</t>
  </si>
  <si>
    <t>Total Capex Budget</t>
  </si>
  <si>
    <t>Capex</t>
  </si>
  <si>
    <t>INTERIM INTEREST</t>
  </si>
  <si>
    <t>MODEL INPUTS</t>
  </si>
  <si>
    <t>FY31</t>
  </si>
  <si>
    <t>Program</t>
  </si>
  <si>
    <t>NextGen</t>
  </si>
  <si>
    <t>Node</t>
  </si>
  <si>
    <t xml:space="preserve">Southeast </t>
  </si>
  <si>
    <t>Northeast</t>
  </si>
  <si>
    <t xml:space="preserve">Location </t>
  </si>
  <si>
    <t>Carnesville, GA</t>
  </si>
  <si>
    <t>Wallkill, NY</t>
  </si>
  <si>
    <t>State</t>
  </si>
  <si>
    <t>GA</t>
  </si>
  <si>
    <t>NY</t>
  </si>
  <si>
    <t>FC Number</t>
  </si>
  <si>
    <t>TBD</t>
  </si>
  <si>
    <t>Airport Code</t>
  </si>
  <si>
    <t xml:space="preserve"> ATL5</t>
  </si>
  <si>
    <t>LGA1</t>
  </si>
  <si>
    <t>BDR Sign-off</t>
  </si>
  <si>
    <t xml:space="preserve">Design and Construction </t>
  </si>
  <si>
    <t>Due  Diligence:  Site Selection</t>
  </si>
  <si>
    <t>Due  Diligence 30% Work Ahead</t>
  </si>
  <si>
    <t>Due  Diligence:  30% Design</t>
  </si>
  <si>
    <t>Due  Diligence:  60% Design</t>
  </si>
  <si>
    <t xml:space="preserve">Due  Diligence:  90% Design </t>
  </si>
  <si>
    <t>Due  Diligence:  CA Design</t>
  </si>
  <si>
    <t>Site Selected</t>
  </si>
  <si>
    <t>Start of Design</t>
  </si>
  <si>
    <t>30% Design Complete</t>
  </si>
  <si>
    <t>30% ROM Pricing</t>
  </si>
  <si>
    <t>60% Design Complete</t>
  </si>
  <si>
    <t>60% ROM Pricing</t>
  </si>
  <si>
    <t>90% Design Complete</t>
  </si>
  <si>
    <t>Out to Permit</t>
  </si>
  <si>
    <t>Permit Complete</t>
  </si>
  <si>
    <t>Construction Start</t>
  </si>
  <si>
    <t>Construction Substantial Completion</t>
  </si>
  <si>
    <t>Phase 1 Go-live</t>
  </si>
  <si>
    <t>Phase 2 Go-live</t>
  </si>
  <si>
    <t>Go-Live FY</t>
  </si>
  <si>
    <t xml:space="preserve">FY Capacity Added </t>
  </si>
  <si>
    <t xml:space="preserve">Governance </t>
  </si>
  <si>
    <t>Steer Co</t>
  </si>
  <si>
    <t>Vertical Start-Up</t>
  </si>
  <si>
    <t xml:space="preserve">SCDB Turn in </t>
  </si>
  <si>
    <t xml:space="preserve">SCDB </t>
  </si>
  <si>
    <t>RLM Turn-In</t>
  </si>
  <si>
    <t>RLM</t>
  </si>
  <si>
    <t>REC Turn-In</t>
  </si>
  <si>
    <t>REC</t>
  </si>
  <si>
    <t>CFO Turn-In</t>
  </si>
  <si>
    <t>CFO Review</t>
  </si>
  <si>
    <t>CPC Turn-In</t>
  </si>
  <si>
    <t>CPC</t>
  </si>
  <si>
    <t>MSM Turn-In</t>
  </si>
  <si>
    <t xml:space="preserve">MSM   </t>
  </si>
  <si>
    <t>ASM Turn-In</t>
  </si>
  <si>
    <t>ASM</t>
  </si>
  <si>
    <t>Engineering Design and Install</t>
  </si>
  <si>
    <t>30 % Design - ENG</t>
  </si>
  <si>
    <t>60% Design -ENG</t>
  </si>
  <si>
    <t>90% Design - ENG</t>
  </si>
  <si>
    <t>KNAPP Signed SOW</t>
  </si>
  <si>
    <t>KNAPP start of Install (Start)</t>
  </si>
  <si>
    <t xml:space="preserve">Phase 1 Commissioning - (Start) </t>
  </si>
  <si>
    <t xml:space="preserve">FAT, End to End Testing, Financial Validation (Start) </t>
  </si>
  <si>
    <t>Additional Key Dates</t>
  </si>
  <si>
    <t>Business Case Intake Open</t>
  </si>
  <si>
    <t>Business Case Intake Closed</t>
  </si>
  <si>
    <t>Business Case Complete</t>
  </si>
  <si>
    <t>Incentives Secured</t>
  </si>
  <si>
    <t xml:space="preserve">REC Dry Run </t>
  </si>
  <si>
    <t xml:space="preserve">CPC Dry Run </t>
  </si>
  <si>
    <t xml:space="preserve">ASM Dry Run </t>
  </si>
  <si>
    <t>Moratorium Vote</t>
  </si>
  <si>
    <t>N/A</t>
  </si>
  <si>
    <t>Site Selection Trip</t>
  </si>
  <si>
    <t>Talking Points &amp; FAQ Updated</t>
  </si>
  <si>
    <t>Start of Design until Phase 1 Go-Live (Years)</t>
  </si>
  <si>
    <t>Start of Design until Phase 1 Go-Live (Days)</t>
  </si>
  <si>
    <t xml:space="preserve">Wallkill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</si>
</sst>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7" formatCode="mm/dd/yy;@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b/>
      <i/>
      <sz val="11"/>
      <color theme="1"/>
      <name val="Calibri"/>
      <family val="2"/>
    </font>
    <font>
      <sz val="11"/>
      <color rgb="FF0000FF"/>
      <name val="Calibri"/>
      <family val="2"/>
    </font>
    <font>
      <i/>
      <sz val="11"/>
      <color theme="1"/>
      <name val="Calibri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9F8"/>
        <bgColor rgb="FFFFC22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3" fillId="2" borderId="1" xfId="0" applyFont="1" applyFill="1" applyBorder="1" applyAlignment="1">
      <alignment vertical="top"/>
    </xf>
    <xf numFmtId="164" fontId="4" fillId="3" borderId="2" xfId="2" applyNumberFormat="1" applyFont="1" applyFill="1" applyBorder="1" applyAlignment="1">
      <alignment horizontal="center" vertical="center"/>
    </xf>
    <xf numFmtId="164" fontId="4" fillId="3" borderId="1" xfId="2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164" fontId="5" fillId="0" borderId="4" xfId="2" applyNumberFormat="1" applyFont="1" applyBorder="1" applyAlignment="1">
      <alignment vertical="top"/>
    </xf>
    <xf numFmtId="164" fontId="5" fillId="0" borderId="0" xfId="2" applyNumberFormat="1" applyFont="1" applyBorder="1" applyAlignment="1">
      <alignment vertical="top"/>
    </xf>
    <xf numFmtId="164" fontId="5" fillId="0" borderId="5" xfId="2" applyNumberFormat="1" applyFont="1" applyBorder="1" applyAlignment="1">
      <alignment vertical="top"/>
    </xf>
    <xf numFmtId="164" fontId="5" fillId="0" borderId="6" xfId="2" applyNumberFormat="1" applyFont="1" applyBorder="1" applyAlignment="1">
      <alignment vertical="top"/>
    </xf>
    <xf numFmtId="164" fontId="5" fillId="4" borderId="6" xfId="2" applyNumberFormat="1" applyFont="1" applyFill="1" applyBorder="1" applyAlignment="1">
      <alignment vertical="top"/>
    </xf>
    <xf numFmtId="0" fontId="5" fillId="0" borderId="4" xfId="0" applyFont="1" applyBorder="1" applyAlignment="1">
      <alignment vertical="top"/>
    </xf>
    <xf numFmtId="164" fontId="5" fillId="4" borderId="0" xfId="2" applyNumberFormat="1" applyFont="1" applyFill="1" applyBorder="1" applyAlignment="1">
      <alignment vertical="top"/>
    </xf>
    <xf numFmtId="164" fontId="5" fillId="4" borderId="5" xfId="2" applyNumberFormat="1" applyFont="1" applyFill="1" applyBorder="1" applyAlignment="1">
      <alignment vertical="top"/>
    </xf>
    <xf numFmtId="0" fontId="5" fillId="0" borderId="7" xfId="0" applyFont="1" applyBorder="1" applyAlignment="1">
      <alignment vertical="top"/>
    </xf>
    <xf numFmtId="164" fontId="5" fillId="0" borderId="7" xfId="2" applyNumberFormat="1" applyFont="1" applyBorder="1" applyAlignment="1">
      <alignment vertical="top"/>
    </xf>
    <xf numFmtId="164" fontId="5" fillId="0" borderId="8" xfId="2" applyNumberFormat="1" applyFont="1" applyBorder="1" applyAlignment="1">
      <alignment vertical="top"/>
    </xf>
    <xf numFmtId="164" fontId="5" fillId="0" borderId="9" xfId="2" applyNumberFormat="1" applyFont="1" applyBorder="1" applyAlignment="1">
      <alignment vertical="top"/>
    </xf>
    <xf numFmtId="164" fontId="5" fillId="4" borderId="9" xfId="2" applyNumberFormat="1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164" fontId="3" fillId="0" borderId="10" xfId="2" applyNumberFormat="1" applyFont="1" applyBorder="1" applyAlignment="1">
      <alignment vertical="top"/>
    </xf>
    <xf numFmtId="164" fontId="3" fillId="0" borderId="2" xfId="2" applyNumberFormat="1" applyFont="1" applyBorder="1" applyAlignment="1">
      <alignment vertical="top"/>
    </xf>
    <xf numFmtId="164" fontId="3" fillId="5" borderId="1" xfId="2" applyNumberFormat="1" applyFont="1" applyFill="1" applyBorder="1" applyAlignment="1">
      <alignment vertical="top"/>
    </xf>
    <xf numFmtId="164" fontId="3" fillId="0" borderId="1" xfId="2" applyNumberFormat="1" applyFont="1" applyBorder="1" applyAlignment="1">
      <alignment vertical="top"/>
    </xf>
    <xf numFmtId="164" fontId="4" fillId="3" borderId="2" xfId="1" applyNumberFormat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4" fontId="5" fillId="0" borderId="4" xfId="1" applyNumberFormat="1" applyFont="1" applyBorder="1" applyAlignment="1">
      <alignment vertical="top"/>
    </xf>
    <xf numFmtId="164" fontId="5" fillId="0" borderId="0" xfId="1" applyNumberFormat="1" applyFont="1" applyBorder="1" applyAlignment="1">
      <alignment vertical="top"/>
    </xf>
    <xf numFmtId="164" fontId="5" fillId="0" borderId="5" xfId="1" applyNumberFormat="1" applyFont="1" applyBorder="1" applyAlignment="1">
      <alignment vertical="top"/>
    </xf>
    <xf numFmtId="164" fontId="5" fillId="0" borderId="6" xfId="1" applyNumberFormat="1" applyFont="1" applyBorder="1" applyAlignment="1">
      <alignment vertical="top"/>
    </xf>
    <xf numFmtId="164" fontId="5" fillId="4" borderId="6" xfId="1" applyNumberFormat="1" applyFont="1" applyFill="1" applyBorder="1" applyAlignment="1">
      <alignment vertical="top"/>
    </xf>
    <xf numFmtId="164" fontId="5" fillId="4" borderId="0" xfId="1" applyNumberFormat="1" applyFont="1" applyFill="1" applyBorder="1" applyAlignment="1">
      <alignment vertical="top"/>
    </xf>
    <xf numFmtId="164" fontId="5" fillId="4" borderId="5" xfId="1" applyNumberFormat="1" applyFont="1" applyFill="1" applyBorder="1" applyAlignment="1">
      <alignment vertical="top"/>
    </xf>
    <xf numFmtId="164" fontId="5" fillId="0" borderId="7" xfId="1" applyNumberFormat="1" applyFont="1" applyBorder="1" applyAlignment="1">
      <alignment vertical="top"/>
    </xf>
    <xf numFmtId="164" fontId="5" fillId="0" borderId="8" xfId="1" applyNumberFormat="1" applyFont="1" applyBorder="1" applyAlignment="1">
      <alignment vertical="top"/>
    </xf>
    <xf numFmtId="164" fontId="5" fillId="0" borderId="9" xfId="1" applyNumberFormat="1" applyFont="1" applyBorder="1" applyAlignment="1">
      <alignment vertical="top"/>
    </xf>
    <xf numFmtId="164" fontId="5" fillId="4" borderId="9" xfId="1" applyNumberFormat="1" applyFont="1" applyFill="1" applyBorder="1" applyAlignment="1">
      <alignment vertical="top"/>
    </xf>
    <xf numFmtId="164" fontId="3" fillId="0" borderId="10" xfId="1" applyNumberFormat="1" applyFont="1" applyBorder="1" applyAlignment="1">
      <alignment vertical="top"/>
    </xf>
    <xf numFmtId="164" fontId="3" fillId="0" borderId="2" xfId="1" applyNumberFormat="1" applyFont="1" applyBorder="1" applyAlignment="1">
      <alignment vertical="top"/>
    </xf>
    <xf numFmtId="164" fontId="3" fillId="5" borderId="1" xfId="1" applyNumberFormat="1" applyFont="1" applyFill="1" applyBorder="1" applyAlignment="1">
      <alignment vertical="top"/>
    </xf>
    <xf numFmtId="164" fontId="3" fillId="0" borderId="1" xfId="1" applyNumberFormat="1" applyFont="1" applyBorder="1" applyAlignment="1">
      <alignment vertical="top"/>
    </xf>
    <xf numFmtId="0" fontId="5" fillId="0" borderId="0" xfId="0" applyFont="1" applyFill="1" applyBorder="1" applyAlignment="1">
      <alignment vertical="top"/>
    </xf>
    <xf numFmtId="0" fontId="2" fillId="0" borderId="0" xfId="0" applyFont="1"/>
    <xf numFmtId="0" fontId="2" fillId="4" borderId="0" xfId="0" applyFont="1" applyFill="1" applyAlignment="1">
      <alignment vertical="top"/>
    </xf>
    <xf numFmtId="164" fontId="8" fillId="3" borderId="12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vertical="top"/>
    </xf>
    <xf numFmtId="164" fontId="8" fillId="3" borderId="13" xfId="1" applyNumberFormat="1" applyFont="1" applyFill="1" applyBorder="1" applyAlignment="1">
      <alignment horizontal="center" vertical="center"/>
    </xf>
    <xf numFmtId="164" fontId="9" fillId="7" borderId="1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vertical="top"/>
    </xf>
    <xf numFmtId="0" fontId="7" fillId="8" borderId="11" xfId="0" applyFont="1" applyFill="1" applyBorder="1" applyAlignment="1">
      <alignment horizontal="center" vertical="center"/>
    </xf>
    <xf numFmtId="164" fontId="0" fillId="9" borderId="0" xfId="1" applyNumberFormat="1" applyFont="1" applyFill="1" applyAlignment="1">
      <alignment vertical="top"/>
    </xf>
    <xf numFmtId="164" fontId="0" fillId="0" borderId="0" xfId="1" applyNumberFormat="1" applyFont="1" applyAlignment="1">
      <alignment vertical="top"/>
    </xf>
    <xf numFmtId="164" fontId="0" fillId="2" borderId="0" xfId="1" applyNumberFormat="1" applyFont="1" applyFill="1" applyAlignment="1">
      <alignment vertical="top"/>
    </xf>
    <xf numFmtId="164" fontId="2" fillId="9" borderId="0" xfId="1" applyNumberFormat="1" applyFont="1" applyFill="1" applyAlignment="1">
      <alignment vertical="top"/>
    </xf>
    <xf numFmtId="164" fontId="2" fillId="0" borderId="0" xfId="1" applyNumberFormat="1" applyFont="1" applyAlignment="1">
      <alignment vertical="top"/>
    </xf>
    <xf numFmtId="0" fontId="6" fillId="0" borderId="4" xfId="0" applyFont="1" applyBorder="1" applyAlignment="1">
      <alignment horizontal="left" vertical="top" indent="1"/>
    </xf>
    <xf numFmtId="0" fontId="6" fillId="0" borderId="7" xfId="0" applyFont="1" applyBorder="1" applyAlignment="1">
      <alignment horizontal="left" vertical="top" indent="1"/>
    </xf>
    <xf numFmtId="0" fontId="7" fillId="8" borderId="14" xfId="0" applyFont="1" applyFill="1" applyBorder="1" applyAlignment="1">
      <alignment horizontal="center" vertical="center"/>
    </xf>
    <xf numFmtId="164" fontId="0" fillId="0" borderId="8" xfId="1" applyNumberFormat="1" applyFont="1" applyBorder="1" applyAlignment="1">
      <alignment vertical="top"/>
    </xf>
    <xf numFmtId="0" fontId="3" fillId="4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3" fillId="0" borderId="3" xfId="0" applyFont="1" applyBorder="1" applyAlignment="1">
      <alignment vertical="top"/>
    </xf>
    <xf numFmtId="164" fontId="10" fillId="3" borderId="13" xfId="1" applyNumberFormat="1" applyFont="1" applyFill="1" applyBorder="1" applyAlignment="1">
      <alignment horizontal="center" vertical="center"/>
    </xf>
    <xf numFmtId="164" fontId="11" fillId="7" borderId="12" xfId="0" applyNumberFormat="1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164" fontId="5" fillId="9" borderId="0" xfId="1" applyNumberFormat="1" applyFont="1" applyFill="1" applyBorder="1" applyAlignment="1">
      <alignment vertical="top"/>
    </xf>
    <xf numFmtId="164" fontId="3" fillId="9" borderId="0" xfId="1" applyNumberFormat="1" applyFont="1" applyFill="1" applyBorder="1" applyAlignment="1">
      <alignment vertical="top"/>
    </xf>
    <xf numFmtId="164" fontId="3" fillId="0" borderId="0" xfId="1" applyNumberFormat="1" applyFont="1" applyBorder="1" applyAlignment="1">
      <alignment vertical="top"/>
    </xf>
    <xf numFmtId="0" fontId="13" fillId="0" borderId="4" xfId="0" applyFont="1" applyBorder="1" applyAlignment="1">
      <alignment horizontal="left" vertical="top" indent="1"/>
    </xf>
    <xf numFmtId="164" fontId="5" fillId="6" borderId="0" xfId="1" applyNumberFormat="1" applyFont="1" applyFill="1" applyBorder="1" applyAlignment="1">
      <alignment vertical="top"/>
    </xf>
    <xf numFmtId="0" fontId="13" fillId="0" borderId="7" xfId="0" applyFont="1" applyBorder="1" applyAlignment="1">
      <alignment horizontal="left" vertical="top" indent="1"/>
    </xf>
    <xf numFmtId="0" fontId="12" fillId="8" borderId="14" xfId="0" applyFont="1" applyFill="1" applyBorder="1" applyAlignment="1">
      <alignment horizontal="center" vertical="center"/>
    </xf>
    <xf numFmtId="164" fontId="5" fillId="6" borderId="8" xfId="1" applyNumberFormat="1" applyFont="1" applyFill="1" applyBorder="1" applyAlignment="1">
      <alignment vertical="top"/>
    </xf>
    <xf numFmtId="164" fontId="10" fillId="3" borderId="12" xfId="1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0" fontId="2" fillId="10" borderId="0" xfId="0" applyFont="1" applyFill="1"/>
    <xf numFmtId="167" fontId="0" fillId="11" borderId="0" xfId="0" applyNumberFormat="1" applyFill="1" applyAlignment="1">
      <alignment horizontal="center" vertical="center"/>
    </xf>
    <xf numFmtId="0" fontId="14" fillId="10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67" fontId="0" fillId="6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3">
    <cellStyle name="Comma" xfId="1" builtinId="3"/>
    <cellStyle name="Comma 28" xfId="2" xr:uid="{3C19E11A-2AAF-4524-B635-6B69E034989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ourtney Miller" id="{E0A60E63-59C5-4266-B5D1-EA9038660B38}" userId="S::k0m0eg1@homeoffice.wal-mart.com::259b18c5-446d-4dd9-aa20-cb703c0c935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6-04-21T14:16:42.47" personId="{E0A60E63-59C5-4266-B5D1-EA9038660B38}" id="{71F1A8DD-E9E7-442E-A197-52AA3D0A75A5}">
    <text>Not sure the exact date.  BDR was redone after Aug ASM Rejection.</text>
  </threadedComment>
  <threadedComment ref="C13" dT="2026-04-22T12:47:24.77" personId="{E0A60E63-59C5-4266-B5D1-EA9038660B38}" id="{08EAFD87-1F94-4F49-BB55-310EACBFC7C7}">
    <text>Partial 90% approved.  Need additional 417K requires CPC approval by 5/22/26</text>
  </threadedComment>
  <threadedComment ref="C63" dT="2026-04-23T19:26:15.32" personId="{E0A60E63-59C5-4266-B5D1-EA9038660B38}" id="{F0C81F32-F4BA-4E3A-9A4A-208E0A1385F7}">
    <text>Got pulled from the agenda on 4/23/26 due to a legal not having the right signature.  Pending Rescheduling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297B-AB07-4162-90AB-F4C2783B955E}">
  <dimension ref="B1:G19"/>
  <sheetViews>
    <sheetView workbookViewId="0">
      <selection activeCell="B26" sqref="B26"/>
    </sheetView>
  </sheetViews>
  <sheetFormatPr defaultRowHeight="15" x14ac:dyDescent="0.25"/>
  <cols>
    <col min="2" max="2" width="24" bestFit="1" customWidth="1"/>
    <col min="3" max="7" width="15.5703125" customWidth="1"/>
  </cols>
  <sheetData>
    <row r="1" spans="2:7" ht="15.75" thickBot="1" x14ac:dyDescent="0.3">
      <c r="B1" t="s">
        <v>12</v>
      </c>
    </row>
    <row r="2" spans="2:7" ht="15.75" thickBot="1" x14ac:dyDescent="0.3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</row>
    <row r="3" spans="2:7" x14ac:dyDescent="0.25">
      <c r="B3" s="4" t="s">
        <v>6</v>
      </c>
      <c r="C3" s="5">
        <v>50000000</v>
      </c>
      <c r="D3" s="6">
        <v>0</v>
      </c>
      <c r="E3" s="7">
        <v>50000000</v>
      </c>
      <c r="F3" s="8">
        <v>0</v>
      </c>
      <c r="G3" s="9">
        <v>50000000</v>
      </c>
    </row>
    <row r="4" spans="2:7" x14ac:dyDescent="0.25">
      <c r="B4" s="10" t="s">
        <v>7</v>
      </c>
      <c r="C4" s="5">
        <v>539385999.81140041</v>
      </c>
      <c r="D4" s="11">
        <v>29877161.900271259</v>
      </c>
      <c r="E4" s="7">
        <v>569263161.71167171</v>
      </c>
      <c r="F4" s="7">
        <v>10114000</v>
      </c>
      <c r="G4" s="12">
        <v>579377161.71167171</v>
      </c>
    </row>
    <row r="5" spans="2:7" x14ac:dyDescent="0.25">
      <c r="B5" s="10" t="s">
        <v>8</v>
      </c>
      <c r="C5" s="5">
        <v>19293036.011887603</v>
      </c>
      <c r="D5" s="6">
        <v>0</v>
      </c>
      <c r="E5" s="7">
        <v>19293036.011887603</v>
      </c>
      <c r="F5" s="7">
        <v>0</v>
      </c>
      <c r="G5" s="12">
        <v>19293036.011887603</v>
      </c>
    </row>
    <row r="6" spans="2:7" x14ac:dyDescent="0.25">
      <c r="B6" s="10" t="s">
        <v>9</v>
      </c>
      <c r="C6" s="5">
        <v>8352048.6000000006</v>
      </c>
      <c r="D6" s="6">
        <v>0</v>
      </c>
      <c r="E6" s="7">
        <v>8352048.6000000006</v>
      </c>
      <c r="F6" s="7">
        <v>503312</v>
      </c>
      <c r="G6" s="12">
        <v>8855360.6000000015</v>
      </c>
    </row>
    <row r="7" spans="2:7" x14ac:dyDescent="0.25">
      <c r="B7" s="10" t="s">
        <v>10</v>
      </c>
      <c r="C7" s="5">
        <v>668151804.04676735</v>
      </c>
      <c r="D7" s="11">
        <v>38203798.769386761</v>
      </c>
      <c r="E7" s="7">
        <v>706355602.81615412</v>
      </c>
      <c r="F7" s="7">
        <v>0</v>
      </c>
      <c r="G7" s="7">
        <v>706355602.81615412</v>
      </c>
    </row>
    <row r="8" spans="2:7" ht="15.75" thickBot="1" x14ac:dyDescent="0.3">
      <c r="B8" s="13" t="s">
        <v>11</v>
      </c>
      <c r="C8" s="14">
        <v>41406129</v>
      </c>
      <c r="D8" s="15">
        <v>0</v>
      </c>
      <c r="E8" s="16">
        <v>41406129</v>
      </c>
      <c r="F8" s="16">
        <v>0</v>
      </c>
      <c r="G8" s="17">
        <v>41406129</v>
      </c>
    </row>
    <row r="9" spans="2:7" ht="15.75" thickBot="1" x14ac:dyDescent="0.3">
      <c r="B9" s="18" t="s">
        <v>0</v>
      </c>
      <c r="C9" s="19">
        <v>1326589017.4700553</v>
      </c>
      <c r="D9" s="20">
        <v>68080960.66965802</v>
      </c>
      <c r="E9" s="21">
        <v>1394669978.1397133</v>
      </c>
      <c r="F9" s="22">
        <v>10617312</v>
      </c>
      <c r="G9" s="22">
        <v>1405287290.1397133</v>
      </c>
    </row>
    <row r="11" spans="2:7" ht="15.75" thickBot="1" x14ac:dyDescent="0.3">
      <c r="B11" s="40" t="s">
        <v>13</v>
      </c>
    </row>
    <row r="12" spans="2:7" ht="15.75" thickBot="1" x14ac:dyDescent="0.3">
      <c r="B12" s="1" t="s">
        <v>0</v>
      </c>
      <c r="C12" s="23" t="s">
        <v>1</v>
      </c>
      <c r="D12" s="23" t="s">
        <v>2</v>
      </c>
      <c r="E12" s="24" t="s">
        <v>3</v>
      </c>
      <c r="F12" s="24" t="s">
        <v>4</v>
      </c>
      <c r="G12" s="24" t="s">
        <v>5</v>
      </c>
    </row>
    <row r="13" spans="2:7" x14ac:dyDescent="0.25">
      <c r="B13" s="4" t="s">
        <v>6</v>
      </c>
      <c r="C13" s="25">
        <v>0</v>
      </c>
      <c r="D13" s="26">
        <v>0</v>
      </c>
      <c r="E13" s="27">
        <v>0</v>
      </c>
      <c r="F13" s="28">
        <v>0</v>
      </c>
      <c r="G13" s="29">
        <v>0</v>
      </c>
    </row>
    <row r="14" spans="2:7" x14ac:dyDescent="0.25">
      <c r="B14" s="10" t="s">
        <v>7</v>
      </c>
      <c r="C14" s="25">
        <v>839292340.00300002</v>
      </c>
      <c r="D14" s="30">
        <v>37126987.083604291</v>
      </c>
      <c r="E14" s="27">
        <v>876419327.08660436</v>
      </c>
      <c r="F14" s="27">
        <v>16325000</v>
      </c>
      <c r="G14" s="31">
        <v>892744327.08660436</v>
      </c>
    </row>
    <row r="15" spans="2:7" x14ac:dyDescent="0.25">
      <c r="B15" s="10" t="s">
        <v>8</v>
      </c>
      <c r="C15" s="25">
        <v>26445175.300000001</v>
      </c>
      <c r="D15" s="26">
        <v>0</v>
      </c>
      <c r="E15" s="27">
        <v>26445175.300000001</v>
      </c>
      <c r="F15" s="27">
        <v>150000</v>
      </c>
      <c r="G15" s="31">
        <v>26595175.300000001</v>
      </c>
    </row>
    <row r="16" spans="2:7" x14ac:dyDescent="0.25">
      <c r="B16" s="10" t="s">
        <v>9</v>
      </c>
      <c r="C16" s="25">
        <v>5647534.8700000001</v>
      </c>
      <c r="D16" s="26">
        <v>0</v>
      </c>
      <c r="E16" s="27">
        <v>5647534.8700000001</v>
      </c>
      <c r="F16" s="27">
        <v>2326513.59</v>
      </c>
      <c r="G16" s="31">
        <v>7974048.46</v>
      </c>
    </row>
    <row r="17" spans="2:7" x14ac:dyDescent="0.25">
      <c r="B17" s="10" t="s">
        <v>10</v>
      </c>
      <c r="C17" s="25">
        <v>744882442.80690527</v>
      </c>
      <c r="D17" s="30">
        <v>53772204.859049536</v>
      </c>
      <c r="E17" s="27">
        <v>798654647.66595483</v>
      </c>
      <c r="F17" s="27">
        <v>693916.02</v>
      </c>
      <c r="G17" s="27">
        <v>799348563.68595481</v>
      </c>
    </row>
    <row r="18" spans="2:7" ht="15.75" thickBot="1" x14ac:dyDescent="0.3">
      <c r="B18" s="13" t="s">
        <v>11</v>
      </c>
      <c r="C18" s="32">
        <v>41330766</v>
      </c>
      <c r="D18" s="33">
        <v>0</v>
      </c>
      <c r="E18" s="34">
        <v>41330766</v>
      </c>
      <c r="F18" s="34">
        <v>0</v>
      </c>
      <c r="G18" s="35">
        <v>41330766</v>
      </c>
    </row>
    <row r="19" spans="2:7" ht="15.75" thickBot="1" x14ac:dyDescent="0.3">
      <c r="B19" s="18" t="s">
        <v>0</v>
      </c>
      <c r="C19" s="36">
        <v>1657598258.9799051</v>
      </c>
      <c r="D19" s="37">
        <v>90899191.942653835</v>
      </c>
      <c r="E19" s="38">
        <v>1748497450.9225593</v>
      </c>
      <c r="F19" s="39">
        <v>19495429.609999999</v>
      </c>
      <c r="G19" s="39">
        <v>1767992880.5325592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84DE-4EB2-4DEF-8CD2-C3385851CF9C}">
  <dimension ref="B4:J29"/>
  <sheetViews>
    <sheetView workbookViewId="0">
      <selection activeCell="B19" sqref="B19"/>
    </sheetView>
  </sheetViews>
  <sheetFormatPr defaultRowHeight="15" x14ac:dyDescent="0.25"/>
  <cols>
    <col min="2" max="2" width="23.85546875" bestFit="1" customWidth="1"/>
    <col min="3" max="9" width="15.5703125"/>
    <col min="10" max="10" width="20.5703125" customWidth="1"/>
  </cols>
  <sheetData>
    <row r="4" spans="2:9" ht="15.75" thickBot="1" x14ac:dyDescent="0.3">
      <c r="B4" t="s">
        <v>12</v>
      </c>
    </row>
    <row r="5" spans="2:9" ht="16.5" thickBot="1" x14ac:dyDescent="0.3">
      <c r="B5" s="42" t="s">
        <v>18</v>
      </c>
      <c r="D5" s="43" t="s">
        <v>19</v>
      </c>
      <c r="E5" s="43" t="s">
        <v>15</v>
      </c>
      <c r="F5" s="43" t="s">
        <v>16</v>
      </c>
      <c r="G5" s="43" t="s">
        <v>17</v>
      </c>
      <c r="H5" s="43" t="s">
        <v>14</v>
      </c>
      <c r="I5" s="43" t="s">
        <v>20</v>
      </c>
    </row>
    <row r="6" spans="2:9" ht="15.75" x14ac:dyDescent="0.25">
      <c r="B6" s="44" t="s">
        <v>21</v>
      </c>
      <c r="C6" s="45" t="s">
        <v>22</v>
      </c>
      <c r="D6" s="46">
        <v>1394669977.8979864</v>
      </c>
      <c r="E6" s="46">
        <v>55000000</v>
      </c>
      <c r="F6" s="46">
        <v>453729748.60784835</v>
      </c>
      <c r="G6" s="46">
        <v>575330765.25718355</v>
      </c>
      <c r="H6" s="46">
        <v>242786611.13052696</v>
      </c>
      <c r="I6" s="46">
        <v>67822852.902427658</v>
      </c>
    </row>
    <row r="7" spans="2:9" x14ac:dyDescent="0.25">
      <c r="B7" s="47" t="s">
        <v>6</v>
      </c>
      <c r="C7" s="48" t="s">
        <v>22</v>
      </c>
      <c r="D7" s="49">
        <v>50000000</v>
      </c>
      <c r="E7" s="49">
        <v>0</v>
      </c>
      <c r="F7" s="50">
        <v>50000000</v>
      </c>
      <c r="G7" s="50"/>
      <c r="H7" s="50">
        <v>0</v>
      </c>
      <c r="I7" s="50">
        <v>0</v>
      </c>
    </row>
    <row r="8" spans="2:9" x14ac:dyDescent="0.25">
      <c r="B8" s="47" t="s">
        <v>7</v>
      </c>
      <c r="C8" s="48" t="s">
        <v>22</v>
      </c>
      <c r="D8" s="49">
        <v>539385999.81139994</v>
      </c>
      <c r="E8" s="49">
        <v>0</v>
      </c>
      <c r="F8" s="51">
        <v>279295199.8114</v>
      </c>
      <c r="G8" s="50">
        <v>177336000</v>
      </c>
      <c r="H8" s="50">
        <v>70933400</v>
      </c>
      <c r="I8" s="50">
        <v>11821400</v>
      </c>
    </row>
    <row r="9" spans="2:9" x14ac:dyDescent="0.25">
      <c r="B9" s="47" t="s">
        <v>8</v>
      </c>
      <c r="C9" s="48" t="s">
        <v>22</v>
      </c>
      <c r="D9" s="49">
        <v>19293036.011887599</v>
      </c>
      <c r="E9" s="49">
        <v>0</v>
      </c>
      <c r="F9" s="50">
        <v>9027585.1918965988</v>
      </c>
      <c r="G9" s="50">
        <v>10265450.819991</v>
      </c>
      <c r="H9" s="50">
        <v>0</v>
      </c>
      <c r="I9" s="50">
        <v>0</v>
      </c>
    </row>
    <row r="10" spans="2:9" x14ac:dyDescent="0.25">
      <c r="B10" s="47" t="s">
        <v>9</v>
      </c>
      <c r="C10" s="48" t="s">
        <v>22</v>
      </c>
      <c r="D10" s="49">
        <v>8352048.6000000006</v>
      </c>
      <c r="E10" s="49">
        <v>0</v>
      </c>
      <c r="F10" s="50">
        <v>0</v>
      </c>
      <c r="G10" s="50">
        <v>791027.67</v>
      </c>
      <c r="H10" s="50">
        <v>7561020.9300000006</v>
      </c>
      <c r="I10" s="50">
        <v>0</v>
      </c>
    </row>
    <row r="11" spans="2:9" x14ac:dyDescent="0.25">
      <c r="B11" s="47" t="s">
        <v>10</v>
      </c>
      <c r="C11" s="48" t="s">
        <v>22</v>
      </c>
      <c r="D11" s="49">
        <v>668151803.80504096</v>
      </c>
      <c r="E11" s="49">
        <v>55000000</v>
      </c>
      <c r="F11" s="50">
        <v>101571388.75175351</v>
      </c>
      <c r="G11" s="51">
        <v>332155825</v>
      </c>
      <c r="H11" s="50">
        <v>123423137.15085974</v>
      </c>
      <c r="I11" s="50">
        <v>56001452.902427658</v>
      </c>
    </row>
    <row r="12" spans="2:9" x14ac:dyDescent="0.25">
      <c r="B12" s="47" t="s">
        <v>11</v>
      </c>
      <c r="C12" s="48" t="s">
        <v>22</v>
      </c>
      <c r="D12" s="49">
        <v>41406129</v>
      </c>
      <c r="E12" s="49">
        <v>0</v>
      </c>
      <c r="F12" s="50">
        <v>4133076.7</v>
      </c>
      <c r="G12" s="50">
        <v>20740745.5</v>
      </c>
      <c r="H12" s="50">
        <v>16532306.800000001</v>
      </c>
      <c r="I12" s="50">
        <v>0</v>
      </c>
    </row>
    <row r="13" spans="2:9" x14ac:dyDescent="0.25">
      <c r="B13" s="47" t="s">
        <v>23</v>
      </c>
      <c r="C13" s="48" t="s">
        <v>22</v>
      </c>
      <c r="D13" s="52">
        <v>68080960.66965802</v>
      </c>
      <c r="E13" s="52">
        <v>0</v>
      </c>
      <c r="F13" s="53">
        <v>9702498.1527982242</v>
      </c>
      <c r="G13" s="53">
        <v>34041716.267192587</v>
      </c>
      <c r="H13" s="53">
        <v>24336746.249667212</v>
      </c>
      <c r="I13" s="53">
        <v>0</v>
      </c>
    </row>
    <row r="14" spans="2:9" x14ac:dyDescent="0.25">
      <c r="B14" s="54" t="s">
        <v>7</v>
      </c>
      <c r="C14" s="48" t="s">
        <v>22</v>
      </c>
      <c r="D14" s="50">
        <v>29877161.900271259</v>
      </c>
      <c r="E14" s="50">
        <v>0</v>
      </c>
      <c r="F14" s="50">
        <v>6610243.4552181475</v>
      </c>
      <c r="G14" s="50">
        <v>17661237.61489353</v>
      </c>
      <c r="H14" s="50">
        <v>5605680.8301595841</v>
      </c>
      <c r="I14" s="50">
        <v>0</v>
      </c>
    </row>
    <row r="15" spans="2:9" ht="15.75" thickBot="1" x14ac:dyDescent="0.3">
      <c r="B15" s="55" t="s">
        <v>10</v>
      </c>
      <c r="C15" s="56" t="s">
        <v>22</v>
      </c>
      <c r="D15" s="57">
        <v>38203798.769386761</v>
      </c>
      <c r="E15" s="57">
        <v>0</v>
      </c>
      <c r="F15" s="57">
        <v>3092254.6975800768</v>
      </c>
      <c r="G15" s="57">
        <v>16380478.652299058</v>
      </c>
      <c r="H15" s="57">
        <v>18731065.419507626</v>
      </c>
      <c r="I15" s="57">
        <v>0</v>
      </c>
    </row>
    <row r="18" spans="2:10" ht="15.75" thickBot="1" x14ac:dyDescent="0.3">
      <c r="B18" t="s">
        <v>104</v>
      </c>
    </row>
    <row r="19" spans="2:10" ht="16.5" thickBot="1" x14ac:dyDescent="0.3">
      <c r="B19" s="58" t="s">
        <v>24</v>
      </c>
      <c r="C19" s="59"/>
      <c r="D19" s="72" t="s">
        <v>19</v>
      </c>
      <c r="E19" s="72" t="s">
        <v>15</v>
      </c>
      <c r="F19" s="72" t="s">
        <v>16</v>
      </c>
      <c r="G19" s="72" t="s">
        <v>17</v>
      </c>
      <c r="H19" s="72" t="s">
        <v>14</v>
      </c>
      <c r="I19" s="72" t="s">
        <v>20</v>
      </c>
      <c r="J19" s="72" t="s">
        <v>25</v>
      </c>
    </row>
    <row r="20" spans="2:10" ht="15.75" x14ac:dyDescent="0.25">
      <c r="B20" s="60" t="s">
        <v>21</v>
      </c>
      <c r="C20" s="61" t="s">
        <v>22</v>
      </c>
      <c r="D20" s="62">
        <f>SUM(D21:D27)</f>
        <v>1748497450.922559</v>
      </c>
      <c r="E20" s="62">
        <v>0</v>
      </c>
      <c r="F20" s="62">
        <f>SUM(F21:F29)</f>
        <v>66128614.868769921</v>
      </c>
      <c r="G20" s="62">
        <f t="shared" ref="G20:J20" si="0">SUM(G21:G29)</f>
        <v>226116101.08385193</v>
      </c>
      <c r="H20" s="62">
        <f t="shared" si="0"/>
        <v>798526819.17366767</v>
      </c>
      <c r="I20" s="62">
        <f t="shared" si="0"/>
        <v>560797493.80963683</v>
      </c>
      <c r="J20" s="62">
        <f t="shared" si="0"/>
        <v>187827613.92928645</v>
      </c>
    </row>
    <row r="21" spans="2:10" x14ac:dyDescent="0.25">
      <c r="B21" s="10" t="s">
        <v>6</v>
      </c>
      <c r="C21" s="63" t="s">
        <v>22</v>
      </c>
      <c r="D21" s="30">
        <v>0</v>
      </c>
      <c r="E21" s="64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</row>
    <row r="22" spans="2:10" x14ac:dyDescent="0.25">
      <c r="B22" s="10" t="s">
        <v>7</v>
      </c>
      <c r="C22" s="63" t="s">
        <v>22</v>
      </c>
      <c r="D22" s="30">
        <v>839292340.00300002</v>
      </c>
      <c r="E22" s="64">
        <v>0</v>
      </c>
      <c r="F22" s="26">
        <v>0</v>
      </c>
      <c r="G22" s="26">
        <v>71000000</v>
      </c>
      <c r="H22" s="26">
        <v>460255404.0018</v>
      </c>
      <c r="I22" s="26">
        <v>230487702.0009</v>
      </c>
      <c r="J22" s="26">
        <v>77549234.000300005</v>
      </c>
    </row>
    <row r="23" spans="2:10" x14ac:dyDescent="0.25">
      <c r="B23" s="10" t="s">
        <v>8</v>
      </c>
      <c r="C23" s="63" t="s">
        <v>22</v>
      </c>
      <c r="D23" s="30">
        <v>26445175.300000001</v>
      </c>
      <c r="E23" s="64">
        <v>0</v>
      </c>
      <c r="F23" s="26">
        <v>2644518</v>
      </c>
      <c r="G23" s="26">
        <v>9255810</v>
      </c>
      <c r="H23" s="26">
        <v>11900329.299999999</v>
      </c>
      <c r="I23" s="26">
        <v>2644518</v>
      </c>
      <c r="J23" s="26">
        <v>0</v>
      </c>
    </row>
    <row r="24" spans="2:10" x14ac:dyDescent="0.25">
      <c r="B24" s="10" t="s">
        <v>9</v>
      </c>
      <c r="C24" s="63" t="s">
        <v>22</v>
      </c>
      <c r="D24" s="30">
        <v>5647534.8700000001</v>
      </c>
      <c r="E24" s="64">
        <v>0</v>
      </c>
      <c r="F24" s="26">
        <v>0</v>
      </c>
      <c r="G24" s="26">
        <v>0</v>
      </c>
      <c r="H24" s="26">
        <v>791027.67</v>
      </c>
      <c r="I24" s="26">
        <v>4856507.2</v>
      </c>
      <c r="J24" s="26">
        <v>0</v>
      </c>
    </row>
    <row r="25" spans="2:10" x14ac:dyDescent="0.25">
      <c r="B25" s="10" t="s">
        <v>10</v>
      </c>
      <c r="C25" s="63" t="s">
        <v>22</v>
      </c>
      <c r="D25" s="30">
        <v>744882442.80690527</v>
      </c>
      <c r="E25" s="64">
        <v>0</v>
      </c>
      <c r="F25" s="26">
        <v>57193342.271301903</v>
      </c>
      <c r="G25" s="26">
        <v>114386684.54260381</v>
      </c>
      <c r="H25" s="26">
        <v>251290540.44509178</v>
      </c>
      <c r="I25" s="26">
        <v>228660338.16777393</v>
      </c>
      <c r="J25" s="26">
        <v>93351537.380133882</v>
      </c>
    </row>
    <row r="26" spans="2:10" x14ac:dyDescent="0.25">
      <c r="B26" s="10" t="s">
        <v>11</v>
      </c>
      <c r="C26" s="63" t="s">
        <v>22</v>
      </c>
      <c r="D26" s="30">
        <v>41330766</v>
      </c>
      <c r="E26" s="64">
        <v>0</v>
      </c>
      <c r="F26" s="26">
        <v>4133077</v>
      </c>
      <c r="G26" s="26">
        <v>20665383</v>
      </c>
      <c r="H26" s="26">
        <v>16532306</v>
      </c>
      <c r="I26" s="26">
        <v>0</v>
      </c>
      <c r="J26" s="26">
        <v>0</v>
      </c>
    </row>
    <row r="27" spans="2:10" x14ac:dyDescent="0.25">
      <c r="B27" s="10" t="s">
        <v>23</v>
      </c>
      <c r="C27" s="63" t="s">
        <v>22</v>
      </c>
      <c r="D27" s="65">
        <f>SUM(E27:J27)</f>
        <v>90899191.942653835</v>
      </c>
      <c r="E27" s="66">
        <f>E28+E29</f>
        <v>0</v>
      </c>
      <c r="F27" s="66">
        <f t="shared" ref="F27:J27" si="1">F28+F29</f>
        <v>1078838.79873401</v>
      </c>
      <c r="G27" s="66">
        <f t="shared" si="1"/>
        <v>5404111.7706240816</v>
      </c>
      <c r="H27" s="66">
        <f t="shared" si="1"/>
        <v>28878605.878387988</v>
      </c>
      <c r="I27" s="66">
        <f t="shared" si="1"/>
        <v>47074214.220481463</v>
      </c>
      <c r="J27" s="66">
        <f t="shared" si="1"/>
        <v>8463421.2744262889</v>
      </c>
    </row>
    <row r="28" spans="2:10" x14ac:dyDescent="0.25">
      <c r="B28" s="67" t="s">
        <v>7</v>
      </c>
      <c r="C28" s="63" t="s">
        <v>22</v>
      </c>
      <c r="D28" s="65">
        <f t="shared" ref="D28:D29" si="2">SUM(E28:J28)</f>
        <v>37126987.083604291</v>
      </c>
      <c r="E28" s="68">
        <v>0</v>
      </c>
      <c r="F28" s="68">
        <v>0</v>
      </c>
      <c r="G28" s="68">
        <v>1963109.5890410957</v>
      </c>
      <c r="H28" s="68">
        <v>14458647.660948161</v>
      </c>
      <c r="I28" s="68">
        <v>20705229.833615035</v>
      </c>
      <c r="J28" s="68"/>
    </row>
    <row r="29" spans="2:10" ht="15.75" thickBot="1" x14ac:dyDescent="0.3">
      <c r="B29" s="69" t="s">
        <v>10</v>
      </c>
      <c r="C29" s="70" t="s">
        <v>22</v>
      </c>
      <c r="D29" s="65">
        <f t="shared" si="2"/>
        <v>53772204.859049536</v>
      </c>
      <c r="E29" s="71">
        <v>0</v>
      </c>
      <c r="F29" s="71">
        <v>1078838.79873401</v>
      </c>
      <c r="G29" s="71">
        <v>3441002.1815829859</v>
      </c>
      <c r="H29" s="71">
        <v>14419958.217439827</v>
      </c>
      <c r="I29" s="71">
        <v>26368984.386866428</v>
      </c>
      <c r="J29" s="71">
        <v>8463421.2744262889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D57B-50B3-4D5A-983A-AF8951427758}">
  <dimension ref="A1:C69"/>
  <sheetViews>
    <sheetView tabSelected="1" workbookViewId="0">
      <selection activeCell="D14" sqref="D14"/>
    </sheetView>
  </sheetViews>
  <sheetFormatPr defaultRowHeight="15" x14ac:dyDescent="0.25"/>
  <cols>
    <col min="1" max="1" width="35.42578125" customWidth="1"/>
    <col min="2" max="2" width="15" style="73" bestFit="1" customWidth="1"/>
    <col min="3" max="3" width="15.85546875" style="74" customWidth="1"/>
  </cols>
  <sheetData>
    <row r="1" spans="1:3" x14ac:dyDescent="0.25">
      <c r="A1" t="s">
        <v>26</v>
      </c>
      <c r="B1" s="73" t="s">
        <v>27</v>
      </c>
      <c r="C1" s="73" t="s">
        <v>27</v>
      </c>
    </row>
    <row r="2" spans="1:3" x14ac:dyDescent="0.25">
      <c r="A2" t="s">
        <v>28</v>
      </c>
      <c r="B2" s="73" t="s">
        <v>29</v>
      </c>
      <c r="C2" s="74" t="s">
        <v>30</v>
      </c>
    </row>
    <row r="3" spans="1:3" x14ac:dyDescent="0.25">
      <c r="A3" s="41" t="s">
        <v>31</v>
      </c>
      <c r="B3" s="75" t="s">
        <v>32</v>
      </c>
      <c r="C3" s="76" t="s">
        <v>33</v>
      </c>
    </row>
    <row r="4" spans="1:3" x14ac:dyDescent="0.25">
      <c r="A4" t="s">
        <v>34</v>
      </c>
      <c r="B4" s="73" t="s">
        <v>35</v>
      </c>
      <c r="C4" s="74" t="s">
        <v>36</v>
      </c>
    </row>
    <row r="5" spans="1:3" x14ac:dyDescent="0.25">
      <c r="A5" t="s">
        <v>37</v>
      </c>
      <c r="B5" s="74">
        <v>4843</v>
      </c>
      <c r="C5" s="74">
        <v>7028</v>
      </c>
    </row>
    <row r="6" spans="1:3" x14ac:dyDescent="0.25">
      <c r="A6" t="s">
        <v>39</v>
      </c>
      <c r="B6" s="73" t="s">
        <v>40</v>
      </c>
      <c r="C6" s="74" t="s">
        <v>41</v>
      </c>
    </row>
    <row r="7" spans="1:3" x14ac:dyDescent="0.25">
      <c r="A7" t="s">
        <v>42</v>
      </c>
      <c r="B7" s="77">
        <v>45923</v>
      </c>
      <c r="C7" s="73">
        <v>46100</v>
      </c>
    </row>
    <row r="8" spans="1:3" x14ac:dyDescent="0.25">
      <c r="A8" s="78" t="s">
        <v>43</v>
      </c>
    </row>
    <row r="9" spans="1:3" x14ac:dyDescent="0.25">
      <c r="A9" t="s">
        <v>44</v>
      </c>
      <c r="B9" s="73">
        <v>45792</v>
      </c>
      <c r="C9" s="73">
        <v>45979</v>
      </c>
    </row>
    <row r="10" spans="1:3" x14ac:dyDescent="0.25">
      <c r="A10" t="s">
        <v>45</v>
      </c>
      <c r="B10" s="73">
        <v>45792</v>
      </c>
      <c r="C10" s="73">
        <v>45860</v>
      </c>
    </row>
    <row r="11" spans="1:3" x14ac:dyDescent="0.25">
      <c r="A11" t="s">
        <v>46</v>
      </c>
      <c r="B11" s="73">
        <v>45855</v>
      </c>
      <c r="C11" s="73">
        <v>45993</v>
      </c>
    </row>
    <row r="12" spans="1:3" x14ac:dyDescent="0.25">
      <c r="A12" t="s">
        <v>47</v>
      </c>
      <c r="B12" s="73">
        <v>45971</v>
      </c>
      <c r="C12" s="73">
        <v>46080</v>
      </c>
    </row>
    <row r="13" spans="1:3" x14ac:dyDescent="0.25">
      <c r="A13" t="s">
        <v>48</v>
      </c>
      <c r="B13" s="73">
        <v>45971</v>
      </c>
      <c r="C13" s="79">
        <v>46164</v>
      </c>
    </row>
    <row r="14" spans="1:3" x14ac:dyDescent="0.25">
      <c r="A14" t="s">
        <v>49</v>
      </c>
      <c r="B14" s="73">
        <v>45971</v>
      </c>
      <c r="C14" s="73">
        <v>46253</v>
      </c>
    </row>
    <row r="15" spans="1:3" x14ac:dyDescent="0.25">
      <c r="A15" s="41" t="s">
        <v>50</v>
      </c>
      <c r="B15" s="73">
        <v>45800</v>
      </c>
      <c r="C15" s="73">
        <v>45952</v>
      </c>
    </row>
    <row r="16" spans="1:3" x14ac:dyDescent="0.25">
      <c r="A16" s="41" t="s">
        <v>51</v>
      </c>
      <c r="B16" s="73">
        <v>45859</v>
      </c>
      <c r="C16" s="73">
        <v>45992</v>
      </c>
    </row>
    <row r="17" spans="1:3" x14ac:dyDescent="0.25">
      <c r="A17" t="s">
        <v>52</v>
      </c>
      <c r="B17" s="73">
        <v>45958</v>
      </c>
      <c r="C17" s="73">
        <v>46080</v>
      </c>
    </row>
    <row r="18" spans="1:3" x14ac:dyDescent="0.25">
      <c r="A18" s="41" t="s">
        <v>53</v>
      </c>
      <c r="B18" s="73">
        <v>45982</v>
      </c>
      <c r="C18" s="73">
        <v>46115</v>
      </c>
    </row>
    <row r="19" spans="1:3" x14ac:dyDescent="0.25">
      <c r="A19" t="s">
        <v>54</v>
      </c>
      <c r="B19" s="73">
        <v>46087</v>
      </c>
      <c r="C19" s="73">
        <v>46171</v>
      </c>
    </row>
    <row r="20" spans="1:3" x14ac:dyDescent="0.25">
      <c r="A20" s="41" t="s">
        <v>55</v>
      </c>
      <c r="B20" s="73">
        <v>46122</v>
      </c>
      <c r="C20" s="73">
        <v>46206</v>
      </c>
    </row>
    <row r="21" spans="1:3" x14ac:dyDescent="0.25">
      <c r="A21" t="s">
        <v>56</v>
      </c>
      <c r="B21" s="73">
        <v>46143</v>
      </c>
      <c r="C21" s="73">
        <v>46241</v>
      </c>
    </row>
    <row r="22" spans="1:3" x14ac:dyDescent="0.25">
      <c r="A22" t="s">
        <v>57</v>
      </c>
      <c r="B22" s="73">
        <v>46153</v>
      </c>
      <c r="C22" s="73">
        <v>46132</v>
      </c>
    </row>
    <row r="23" spans="1:3" x14ac:dyDescent="0.25">
      <c r="A23" t="s">
        <v>58</v>
      </c>
      <c r="B23" s="73">
        <v>46248</v>
      </c>
      <c r="C23" s="73">
        <v>46780</v>
      </c>
    </row>
    <row r="24" spans="1:3" x14ac:dyDescent="0.25">
      <c r="A24" s="41" t="s">
        <v>59</v>
      </c>
      <c r="B24" s="73">
        <v>46272</v>
      </c>
      <c r="C24" s="73">
        <v>46811</v>
      </c>
    </row>
    <row r="25" spans="1:3" x14ac:dyDescent="0.25">
      <c r="A25" s="41" t="s">
        <v>60</v>
      </c>
      <c r="B25" s="73">
        <v>46878</v>
      </c>
      <c r="C25" s="73">
        <v>47417</v>
      </c>
    </row>
    <row r="26" spans="1:3" x14ac:dyDescent="0.25">
      <c r="A26" s="41" t="s">
        <v>61</v>
      </c>
      <c r="B26" s="73">
        <v>47056</v>
      </c>
      <c r="C26" s="73">
        <v>47615</v>
      </c>
    </row>
    <row r="27" spans="1:3" x14ac:dyDescent="0.25">
      <c r="A27" s="41" t="s">
        <v>62</v>
      </c>
      <c r="B27" s="73">
        <v>47245</v>
      </c>
      <c r="C27" s="73">
        <v>47791</v>
      </c>
    </row>
    <row r="28" spans="1:3" x14ac:dyDescent="0.25">
      <c r="A28" s="41" t="s">
        <v>63</v>
      </c>
      <c r="B28" s="73" t="s">
        <v>14</v>
      </c>
      <c r="C28" s="73" t="s">
        <v>25</v>
      </c>
    </row>
    <row r="29" spans="1:3" x14ac:dyDescent="0.25">
      <c r="A29" s="41" t="s">
        <v>64</v>
      </c>
      <c r="B29" s="73" t="s">
        <v>14</v>
      </c>
      <c r="C29" s="73" t="s">
        <v>25</v>
      </c>
    </row>
    <row r="30" spans="1:3" ht="15.75" x14ac:dyDescent="0.25">
      <c r="A30" s="80" t="s">
        <v>65</v>
      </c>
      <c r="C30" s="73"/>
    </row>
    <row r="31" spans="1:3" ht="15.75" x14ac:dyDescent="0.25">
      <c r="A31" s="81" t="s">
        <v>66</v>
      </c>
      <c r="B31" s="73">
        <v>46107</v>
      </c>
      <c r="C31" s="73">
        <v>46209</v>
      </c>
    </row>
    <row r="32" spans="1:3" ht="15.75" x14ac:dyDescent="0.25">
      <c r="A32" s="81" t="s">
        <v>67</v>
      </c>
      <c r="B32" s="73">
        <v>46100</v>
      </c>
      <c r="C32" s="73">
        <v>46212</v>
      </c>
    </row>
    <row r="33" spans="1:3" ht="15.75" x14ac:dyDescent="0.25">
      <c r="A33" s="82" t="s">
        <v>68</v>
      </c>
      <c r="B33" s="73">
        <v>46108</v>
      </c>
      <c r="C33" s="73">
        <v>46213</v>
      </c>
    </row>
    <row r="34" spans="1:3" ht="15.75" x14ac:dyDescent="0.25">
      <c r="A34" s="81" t="s">
        <v>69</v>
      </c>
      <c r="B34" s="73">
        <v>46111</v>
      </c>
      <c r="C34" s="73">
        <v>46216</v>
      </c>
    </row>
    <row r="35" spans="1:3" ht="15.75" x14ac:dyDescent="0.25">
      <c r="A35" s="82" t="s">
        <v>70</v>
      </c>
      <c r="B35" s="73">
        <v>46107</v>
      </c>
      <c r="C35" s="73">
        <v>46211</v>
      </c>
    </row>
    <row r="36" spans="1:3" ht="15.75" x14ac:dyDescent="0.25">
      <c r="A36" s="81" t="s">
        <v>71</v>
      </c>
      <c r="B36" s="73">
        <v>46114</v>
      </c>
      <c r="C36" s="73">
        <v>46217</v>
      </c>
    </row>
    <row r="37" spans="1:3" ht="15.75" x14ac:dyDescent="0.25">
      <c r="A37" s="82" t="s">
        <v>72</v>
      </c>
      <c r="B37" s="73">
        <v>46122</v>
      </c>
      <c r="C37" s="73">
        <v>46224</v>
      </c>
    </row>
    <row r="38" spans="1:3" ht="15.75" x14ac:dyDescent="0.25">
      <c r="A38" s="81" t="s">
        <v>73</v>
      </c>
      <c r="B38" s="73">
        <v>46127</v>
      </c>
      <c r="C38" s="73">
        <v>46231</v>
      </c>
    </row>
    <row r="39" spans="1:3" ht="15.75" x14ac:dyDescent="0.25">
      <c r="A39" s="82" t="s">
        <v>74</v>
      </c>
      <c r="B39" s="73">
        <v>46139</v>
      </c>
      <c r="C39" s="83">
        <v>46230</v>
      </c>
    </row>
    <row r="40" spans="1:3" ht="15.75" x14ac:dyDescent="0.25">
      <c r="A40" s="81" t="s">
        <v>75</v>
      </c>
      <c r="B40" s="73">
        <v>46146</v>
      </c>
      <c r="C40" s="73">
        <v>46237</v>
      </c>
    </row>
    <row r="41" spans="1:3" ht="15.75" x14ac:dyDescent="0.25">
      <c r="A41" s="82" t="s">
        <v>76</v>
      </c>
      <c r="B41" s="73">
        <v>46147</v>
      </c>
      <c r="C41" s="73">
        <v>46238</v>
      </c>
    </row>
    <row r="42" spans="1:3" ht="15.75" x14ac:dyDescent="0.25">
      <c r="A42" s="81" t="s">
        <v>77</v>
      </c>
      <c r="B42" s="73">
        <v>46153</v>
      </c>
      <c r="C42" s="73">
        <v>46244</v>
      </c>
    </row>
    <row r="43" spans="1:3" ht="15.75" x14ac:dyDescent="0.25">
      <c r="A43" s="82" t="s">
        <v>78</v>
      </c>
      <c r="B43" s="73">
        <v>46148</v>
      </c>
      <c r="C43" s="73"/>
    </row>
    <row r="44" spans="1:3" ht="15.75" x14ac:dyDescent="0.25">
      <c r="A44" s="81" t="s">
        <v>79</v>
      </c>
      <c r="B44" s="73">
        <v>46154</v>
      </c>
      <c r="C44" s="73"/>
    </row>
    <row r="45" spans="1:3" ht="15.75" x14ac:dyDescent="0.25">
      <c r="A45" s="82" t="s">
        <v>80</v>
      </c>
      <c r="B45" s="73">
        <v>46154</v>
      </c>
      <c r="C45" s="73">
        <v>46245</v>
      </c>
    </row>
    <row r="46" spans="1:3" ht="15.75" x14ac:dyDescent="0.25">
      <c r="A46" s="81" t="s">
        <v>81</v>
      </c>
      <c r="B46" s="73">
        <v>46162</v>
      </c>
      <c r="C46" s="73">
        <v>46253</v>
      </c>
    </row>
    <row r="47" spans="1:3" x14ac:dyDescent="0.25">
      <c r="A47" s="78" t="s">
        <v>82</v>
      </c>
    </row>
    <row r="48" spans="1:3" x14ac:dyDescent="0.25">
      <c r="A48" t="s">
        <v>83</v>
      </c>
      <c r="B48" s="73">
        <f t="shared" ref="B48:C48" si="0">B17-30</f>
        <v>45928</v>
      </c>
      <c r="C48" s="73">
        <f t="shared" si="0"/>
        <v>46050</v>
      </c>
    </row>
    <row r="49" spans="1:3" x14ac:dyDescent="0.25">
      <c r="A49" t="s">
        <v>84</v>
      </c>
      <c r="B49" s="73">
        <f t="shared" ref="B49:C49" si="1">B19-30</f>
        <v>46057</v>
      </c>
      <c r="C49" s="73">
        <f t="shared" si="1"/>
        <v>46141</v>
      </c>
    </row>
    <row r="50" spans="1:3" x14ac:dyDescent="0.25">
      <c r="A50" t="s">
        <v>85</v>
      </c>
      <c r="B50" s="73">
        <f t="shared" ref="B50:C50" si="2">B21-30</f>
        <v>46113</v>
      </c>
      <c r="C50" s="73">
        <f t="shared" si="2"/>
        <v>46211</v>
      </c>
    </row>
    <row r="51" spans="1:3" x14ac:dyDescent="0.25">
      <c r="A51" t="s">
        <v>86</v>
      </c>
      <c r="B51" s="73">
        <f t="shared" ref="B51" si="3">B46+7</f>
        <v>46169</v>
      </c>
      <c r="C51" s="73">
        <f>C46+7</f>
        <v>46260</v>
      </c>
    </row>
    <row r="52" spans="1:3" x14ac:dyDescent="0.25">
      <c r="A52" t="s">
        <v>87</v>
      </c>
      <c r="B52" s="73">
        <f t="shared" ref="B52" si="4">B26-517</f>
        <v>46539</v>
      </c>
      <c r="C52" s="73">
        <f>C26-517</f>
        <v>47098</v>
      </c>
    </row>
    <row r="53" spans="1:3" x14ac:dyDescent="0.25">
      <c r="A53" t="s">
        <v>88</v>
      </c>
      <c r="B53" s="74" t="s">
        <v>38</v>
      </c>
      <c r="C53" s="74" t="s">
        <v>38</v>
      </c>
    </row>
    <row r="54" spans="1:3" x14ac:dyDescent="0.25">
      <c r="A54" t="s">
        <v>89</v>
      </c>
      <c r="B54" s="74" t="s">
        <v>38</v>
      </c>
      <c r="C54" s="74" t="s">
        <v>38</v>
      </c>
    </row>
    <row r="55" spans="1:3" x14ac:dyDescent="0.25">
      <c r="A55" s="78" t="s">
        <v>90</v>
      </c>
    </row>
    <row r="56" spans="1:3" x14ac:dyDescent="0.25">
      <c r="A56" t="s">
        <v>91</v>
      </c>
      <c r="B56" s="73">
        <v>46097</v>
      </c>
      <c r="C56" s="73">
        <f>C57-14</f>
        <v>46174</v>
      </c>
    </row>
    <row r="57" spans="1:3" x14ac:dyDescent="0.25">
      <c r="A57" t="s">
        <v>92</v>
      </c>
      <c r="B57" s="73">
        <v>46118</v>
      </c>
      <c r="C57" s="73">
        <f>C31-21</f>
        <v>46188</v>
      </c>
    </row>
    <row r="58" spans="1:3" x14ac:dyDescent="0.25">
      <c r="A58" t="s">
        <v>93</v>
      </c>
      <c r="B58" s="73">
        <v>46122</v>
      </c>
      <c r="C58" s="73">
        <v>46206</v>
      </c>
    </row>
    <row r="59" spans="1:3" x14ac:dyDescent="0.25">
      <c r="A59" t="s">
        <v>94</v>
      </c>
      <c r="B59" s="73" t="s">
        <v>38</v>
      </c>
      <c r="C59" s="74" t="s">
        <v>38</v>
      </c>
    </row>
    <row r="60" spans="1:3" x14ac:dyDescent="0.25">
      <c r="A60" t="s">
        <v>95</v>
      </c>
      <c r="B60" s="73">
        <v>46121</v>
      </c>
      <c r="C60" s="74" t="s">
        <v>38</v>
      </c>
    </row>
    <row r="61" spans="1:3" x14ac:dyDescent="0.25">
      <c r="A61" t="s">
        <v>96</v>
      </c>
      <c r="B61" s="73">
        <v>46143</v>
      </c>
      <c r="C61" s="74" t="s">
        <v>38</v>
      </c>
    </row>
    <row r="62" spans="1:3" x14ac:dyDescent="0.25">
      <c r="A62" t="s">
        <v>97</v>
      </c>
      <c r="B62" s="73" t="s">
        <v>38</v>
      </c>
      <c r="C62" s="74" t="s">
        <v>38</v>
      </c>
    </row>
    <row r="63" spans="1:3" x14ac:dyDescent="0.25">
      <c r="A63" t="s">
        <v>98</v>
      </c>
      <c r="B63" s="73" t="s">
        <v>99</v>
      </c>
      <c r="C63" s="73">
        <v>46170</v>
      </c>
    </row>
    <row r="64" spans="1:3" x14ac:dyDescent="0.25">
      <c r="A64" t="s">
        <v>100</v>
      </c>
      <c r="B64" s="73">
        <v>45800</v>
      </c>
      <c r="C64" s="84">
        <v>45983</v>
      </c>
    </row>
    <row r="65" spans="1:3" x14ac:dyDescent="0.25">
      <c r="A65" t="s">
        <v>101</v>
      </c>
      <c r="B65" s="73">
        <v>46141</v>
      </c>
      <c r="C65" s="74" t="s">
        <v>38</v>
      </c>
    </row>
    <row r="68" spans="1:3" x14ac:dyDescent="0.25">
      <c r="A68" t="s">
        <v>103</v>
      </c>
      <c r="B68" s="85">
        <f>B27-B16</f>
        <v>1386</v>
      </c>
      <c r="C68" s="85">
        <f>C27-C16</f>
        <v>1799</v>
      </c>
    </row>
    <row r="69" spans="1:3" x14ac:dyDescent="0.25">
      <c r="A69" t="s">
        <v>102</v>
      </c>
      <c r="B69" s="85">
        <f>B68/365</f>
        <v>3.7972602739726029</v>
      </c>
      <c r="C69" s="85">
        <f>C68/365</f>
        <v>4.9287671232876713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CapEx Spend by FY</vt:lpstr>
      <vt:lpstr>Timeline</vt:lpstr>
    </vt:vector>
  </TitlesOfParts>
  <Company>Walmart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Kourtney Miller</dc:creator>
  <cp:lastModifiedBy>Kourtney Miller</cp:lastModifiedBy>
  <dcterms:created xsi:type="dcterms:W3CDTF">2026-05-01T18:26:34Z</dcterms:created>
  <dcterms:modified xsi:type="dcterms:W3CDTF">2026-05-05T11:45:06Z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2026-05-01T18:42:31Z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a249a7bc-c674-4589-a7a2-1870b3f4e55d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</Properties>
</file>